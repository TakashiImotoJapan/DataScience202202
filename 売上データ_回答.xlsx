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takashiimoto/Desktop/プロジェクト/福井県/2022データサイエンス/"/>
    </mc:Choice>
  </mc:AlternateContent>
  <xr:revisionPtr revIDLastSave="0" documentId="13_ncr:1_{2DB887F9-40A6-BC41-89A5-26D8F4E2B330}" xr6:coauthVersionLast="47" xr6:coauthVersionMax="47" xr10:uidLastSave="{00000000-0000-0000-0000-000000000000}"/>
  <bookViews>
    <workbookView xWindow="0" yWindow="760" windowWidth="28620" windowHeight="17740" activeTab="8" xr2:uid="{00000000-000D-0000-FFFF-FFFF00000000}"/>
  </bookViews>
  <sheets>
    <sheet name="シート1" sheetId="1" r:id="rId1"/>
    <sheet name="アイスクリームの売り上げデータ" sheetId="3" r:id="rId2"/>
    <sheet name="売上グラフ" sheetId="4" r:id="rId3"/>
    <sheet name="曜日毎データ" sheetId="5" r:id="rId4"/>
    <sheet name="平均気温と売上の関係" sheetId="6" r:id="rId5"/>
    <sheet name="平均気温と降水量の関係" sheetId="7" r:id="rId6"/>
    <sheet name="相関係数" sheetId="8" r:id="rId7"/>
    <sheet name="気温による線形回帰" sheetId="9" r:id="rId8"/>
    <sheet name="重回帰分析" sheetId="10" r:id="rId9"/>
    <sheet name="重回帰の係数" sheetId="11" r:id="rId10"/>
  </sheets>
  <definedNames>
    <definedName name="_xlchart.v1.0" hidden="1">曜日毎データ!$B$11</definedName>
    <definedName name="_xlchart.v1.1" hidden="1">曜日毎データ!$B$12:$B$64</definedName>
    <definedName name="_xlchart.v1.10" hidden="1">曜日毎データ!$G$11</definedName>
    <definedName name="_xlchart.v1.11" hidden="1">曜日毎データ!$G$12:$G$64</definedName>
    <definedName name="_xlchart.v1.12" hidden="1">曜日毎データ!$H$11</definedName>
    <definedName name="_xlchart.v1.13" hidden="1">曜日毎データ!$H$12:$H$64</definedName>
    <definedName name="_xlchart.v1.2" hidden="1">曜日毎データ!$C$11</definedName>
    <definedName name="_xlchart.v1.3" hidden="1">曜日毎データ!$C$12:$C$64</definedName>
    <definedName name="_xlchart.v1.4" hidden="1">曜日毎データ!$D$11</definedName>
    <definedName name="_xlchart.v1.5" hidden="1">曜日毎データ!$D$12:$D$64</definedName>
    <definedName name="_xlchart.v1.6" hidden="1">曜日毎データ!$E$11</definedName>
    <definedName name="_xlchart.v1.7" hidden="1">曜日毎データ!$E$12:$E$64</definedName>
    <definedName name="_xlchart.v1.8" hidden="1">曜日毎データ!$F$11</definedName>
    <definedName name="_xlchart.v1.9" hidden="1">曜日毎データ!$F$12:$F$64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" i="10" l="1"/>
  <c r="J21" i="10"/>
  <c r="J40" i="10"/>
  <c r="J41" i="10"/>
  <c r="J50" i="10"/>
  <c r="J51" i="10"/>
  <c r="J70" i="10"/>
  <c r="J71" i="10"/>
  <c r="J90" i="10"/>
  <c r="J91" i="10"/>
  <c r="J100" i="10"/>
  <c r="J101" i="10"/>
  <c r="J120" i="10"/>
  <c r="J121" i="10"/>
  <c r="J140" i="10"/>
  <c r="J141" i="10"/>
  <c r="J150" i="10"/>
  <c r="J151" i="10"/>
  <c r="J170" i="10"/>
  <c r="J171" i="10"/>
  <c r="J190" i="10"/>
  <c r="J191" i="10"/>
  <c r="J200" i="10"/>
  <c r="J201" i="10"/>
  <c r="J220" i="10"/>
  <c r="J221" i="10"/>
  <c r="J240" i="10"/>
  <c r="J241" i="10"/>
  <c r="J250" i="10"/>
  <c r="J251" i="10"/>
  <c r="J270" i="10"/>
  <c r="J271" i="10"/>
  <c r="J290" i="10"/>
  <c r="J291" i="10"/>
  <c r="J300" i="10"/>
  <c r="J301" i="10"/>
  <c r="J320" i="10"/>
  <c r="J321" i="10"/>
  <c r="J340" i="10"/>
  <c r="J341" i="10"/>
  <c r="J350" i="10"/>
  <c r="J351" i="10"/>
  <c r="I5" i="10"/>
  <c r="J5" i="10" s="1"/>
  <c r="I6" i="10"/>
  <c r="J6" i="10" s="1"/>
  <c r="I7" i="10"/>
  <c r="J7" i="10" s="1"/>
  <c r="I8" i="10"/>
  <c r="J8" i="10" s="1"/>
  <c r="I9" i="10"/>
  <c r="J9" i="10" s="1"/>
  <c r="I10" i="10"/>
  <c r="J10" i="10" s="1"/>
  <c r="I11" i="10"/>
  <c r="J11" i="10" s="1"/>
  <c r="I12" i="10"/>
  <c r="J12" i="10" s="1"/>
  <c r="I13" i="10"/>
  <c r="J13" i="10" s="1"/>
  <c r="I14" i="10"/>
  <c r="J14" i="10" s="1"/>
  <c r="I15" i="10"/>
  <c r="J15" i="10" s="1"/>
  <c r="I16" i="10"/>
  <c r="J16" i="10" s="1"/>
  <c r="I17" i="10"/>
  <c r="J17" i="10" s="1"/>
  <c r="I18" i="10"/>
  <c r="J18" i="10" s="1"/>
  <c r="I19" i="10"/>
  <c r="J19" i="10" s="1"/>
  <c r="I20" i="10"/>
  <c r="I21" i="10"/>
  <c r="I22" i="10"/>
  <c r="J22" i="10" s="1"/>
  <c r="I23" i="10"/>
  <c r="J23" i="10" s="1"/>
  <c r="I24" i="10"/>
  <c r="J24" i="10" s="1"/>
  <c r="I25" i="10"/>
  <c r="J25" i="10" s="1"/>
  <c r="I26" i="10"/>
  <c r="J26" i="10" s="1"/>
  <c r="I27" i="10"/>
  <c r="J27" i="10" s="1"/>
  <c r="I28" i="10"/>
  <c r="J28" i="10" s="1"/>
  <c r="I29" i="10"/>
  <c r="J29" i="10" s="1"/>
  <c r="I30" i="10"/>
  <c r="J30" i="10" s="1"/>
  <c r="I31" i="10"/>
  <c r="J31" i="10" s="1"/>
  <c r="I32" i="10"/>
  <c r="J32" i="10" s="1"/>
  <c r="I33" i="10"/>
  <c r="J33" i="10" s="1"/>
  <c r="I34" i="10"/>
  <c r="J34" i="10" s="1"/>
  <c r="I35" i="10"/>
  <c r="J35" i="10" s="1"/>
  <c r="I36" i="10"/>
  <c r="J36" i="10" s="1"/>
  <c r="I37" i="10"/>
  <c r="J37" i="10" s="1"/>
  <c r="I38" i="10"/>
  <c r="J38" i="10" s="1"/>
  <c r="I39" i="10"/>
  <c r="J39" i="10" s="1"/>
  <c r="I40" i="10"/>
  <c r="I41" i="10"/>
  <c r="I42" i="10"/>
  <c r="J42" i="10" s="1"/>
  <c r="I43" i="10"/>
  <c r="J43" i="10" s="1"/>
  <c r="I44" i="10"/>
  <c r="J44" i="10" s="1"/>
  <c r="I45" i="10"/>
  <c r="J45" i="10" s="1"/>
  <c r="I46" i="10"/>
  <c r="J46" i="10" s="1"/>
  <c r="I47" i="10"/>
  <c r="J47" i="10" s="1"/>
  <c r="I48" i="10"/>
  <c r="J48" i="10" s="1"/>
  <c r="I49" i="10"/>
  <c r="J49" i="10" s="1"/>
  <c r="I50" i="10"/>
  <c r="I51" i="10"/>
  <c r="I52" i="10"/>
  <c r="J52" i="10" s="1"/>
  <c r="I53" i="10"/>
  <c r="J53" i="10" s="1"/>
  <c r="I54" i="10"/>
  <c r="J54" i="10" s="1"/>
  <c r="I55" i="10"/>
  <c r="J55" i="10" s="1"/>
  <c r="I56" i="10"/>
  <c r="J56" i="10" s="1"/>
  <c r="I57" i="10"/>
  <c r="J57" i="10" s="1"/>
  <c r="I58" i="10"/>
  <c r="J58" i="10" s="1"/>
  <c r="I59" i="10"/>
  <c r="J59" i="10" s="1"/>
  <c r="I60" i="10"/>
  <c r="J60" i="10" s="1"/>
  <c r="I61" i="10"/>
  <c r="J61" i="10" s="1"/>
  <c r="I62" i="10"/>
  <c r="J62" i="10" s="1"/>
  <c r="I63" i="10"/>
  <c r="J63" i="10" s="1"/>
  <c r="I64" i="10"/>
  <c r="J64" i="10" s="1"/>
  <c r="I65" i="10"/>
  <c r="J65" i="10" s="1"/>
  <c r="I66" i="10"/>
  <c r="J66" i="10" s="1"/>
  <c r="I67" i="10"/>
  <c r="J67" i="10" s="1"/>
  <c r="I68" i="10"/>
  <c r="J68" i="10" s="1"/>
  <c r="I69" i="10"/>
  <c r="J69" i="10" s="1"/>
  <c r="I70" i="10"/>
  <c r="I71" i="10"/>
  <c r="I72" i="10"/>
  <c r="J72" i="10" s="1"/>
  <c r="I73" i="10"/>
  <c r="J73" i="10" s="1"/>
  <c r="I74" i="10"/>
  <c r="J74" i="10" s="1"/>
  <c r="I75" i="10"/>
  <c r="J75" i="10" s="1"/>
  <c r="I76" i="10"/>
  <c r="J76" i="10" s="1"/>
  <c r="I77" i="10"/>
  <c r="J77" i="10" s="1"/>
  <c r="I78" i="10"/>
  <c r="J78" i="10" s="1"/>
  <c r="I79" i="10"/>
  <c r="J79" i="10" s="1"/>
  <c r="I80" i="10"/>
  <c r="J80" i="10" s="1"/>
  <c r="I81" i="10"/>
  <c r="J81" i="10" s="1"/>
  <c r="I82" i="10"/>
  <c r="J82" i="10" s="1"/>
  <c r="I83" i="10"/>
  <c r="J83" i="10" s="1"/>
  <c r="I84" i="10"/>
  <c r="J84" i="10" s="1"/>
  <c r="I85" i="10"/>
  <c r="J85" i="10" s="1"/>
  <c r="I86" i="10"/>
  <c r="J86" i="10" s="1"/>
  <c r="I87" i="10"/>
  <c r="J87" i="10" s="1"/>
  <c r="I88" i="10"/>
  <c r="J88" i="10" s="1"/>
  <c r="I89" i="10"/>
  <c r="J89" i="10" s="1"/>
  <c r="I90" i="10"/>
  <c r="I91" i="10"/>
  <c r="I92" i="10"/>
  <c r="J92" i="10" s="1"/>
  <c r="I93" i="10"/>
  <c r="J93" i="10" s="1"/>
  <c r="I94" i="10"/>
  <c r="J94" i="10" s="1"/>
  <c r="I95" i="10"/>
  <c r="J95" i="10" s="1"/>
  <c r="I96" i="10"/>
  <c r="J96" i="10" s="1"/>
  <c r="I97" i="10"/>
  <c r="J97" i="10" s="1"/>
  <c r="I98" i="10"/>
  <c r="J98" i="10" s="1"/>
  <c r="I99" i="10"/>
  <c r="J99" i="10" s="1"/>
  <c r="I100" i="10"/>
  <c r="I101" i="10"/>
  <c r="I102" i="10"/>
  <c r="J102" i="10" s="1"/>
  <c r="I103" i="10"/>
  <c r="J103" i="10" s="1"/>
  <c r="I104" i="10"/>
  <c r="J104" i="10" s="1"/>
  <c r="I105" i="10"/>
  <c r="J105" i="10" s="1"/>
  <c r="I106" i="10"/>
  <c r="J106" i="10" s="1"/>
  <c r="I107" i="10"/>
  <c r="J107" i="10" s="1"/>
  <c r="I108" i="10"/>
  <c r="J108" i="10" s="1"/>
  <c r="I109" i="10"/>
  <c r="J109" i="10" s="1"/>
  <c r="I110" i="10"/>
  <c r="J110" i="10" s="1"/>
  <c r="I111" i="10"/>
  <c r="J111" i="10" s="1"/>
  <c r="I112" i="10"/>
  <c r="J112" i="10" s="1"/>
  <c r="I113" i="10"/>
  <c r="J113" i="10" s="1"/>
  <c r="I114" i="10"/>
  <c r="J114" i="10" s="1"/>
  <c r="I115" i="10"/>
  <c r="J115" i="10" s="1"/>
  <c r="I116" i="10"/>
  <c r="J116" i="10" s="1"/>
  <c r="I117" i="10"/>
  <c r="J117" i="10" s="1"/>
  <c r="I118" i="10"/>
  <c r="J118" i="10" s="1"/>
  <c r="I119" i="10"/>
  <c r="J119" i="10" s="1"/>
  <c r="I120" i="10"/>
  <c r="I121" i="10"/>
  <c r="I122" i="10"/>
  <c r="J122" i="10" s="1"/>
  <c r="I123" i="10"/>
  <c r="J123" i="10" s="1"/>
  <c r="I124" i="10"/>
  <c r="J124" i="10" s="1"/>
  <c r="I125" i="10"/>
  <c r="J125" i="10" s="1"/>
  <c r="I126" i="10"/>
  <c r="J126" i="10" s="1"/>
  <c r="I127" i="10"/>
  <c r="J127" i="10" s="1"/>
  <c r="I128" i="10"/>
  <c r="J128" i="10" s="1"/>
  <c r="I129" i="10"/>
  <c r="J129" i="10" s="1"/>
  <c r="I130" i="10"/>
  <c r="J130" i="10" s="1"/>
  <c r="I131" i="10"/>
  <c r="J131" i="10" s="1"/>
  <c r="I132" i="10"/>
  <c r="J132" i="10" s="1"/>
  <c r="I133" i="10"/>
  <c r="J133" i="10" s="1"/>
  <c r="I134" i="10"/>
  <c r="J134" i="10" s="1"/>
  <c r="I135" i="10"/>
  <c r="J135" i="10" s="1"/>
  <c r="I136" i="10"/>
  <c r="J136" i="10" s="1"/>
  <c r="I137" i="10"/>
  <c r="J137" i="10" s="1"/>
  <c r="I138" i="10"/>
  <c r="J138" i="10" s="1"/>
  <c r="I139" i="10"/>
  <c r="J139" i="10" s="1"/>
  <c r="I140" i="10"/>
  <c r="I141" i="10"/>
  <c r="I142" i="10"/>
  <c r="J142" i="10" s="1"/>
  <c r="I143" i="10"/>
  <c r="J143" i="10" s="1"/>
  <c r="I144" i="10"/>
  <c r="J144" i="10" s="1"/>
  <c r="I145" i="10"/>
  <c r="J145" i="10" s="1"/>
  <c r="I146" i="10"/>
  <c r="J146" i="10" s="1"/>
  <c r="I147" i="10"/>
  <c r="J147" i="10" s="1"/>
  <c r="I148" i="10"/>
  <c r="J148" i="10" s="1"/>
  <c r="I149" i="10"/>
  <c r="J149" i="10" s="1"/>
  <c r="I150" i="10"/>
  <c r="I151" i="10"/>
  <c r="I152" i="10"/>
  <c r="J152" i="10" s="1"/>
  <c r="I153" i="10"/>
  <c r="J153" i="10" s="1"/>
  <c r="I154" i="10"/>
  <c r="J154" i="10" s="1"/>
  <c r="I155" i="10"/>
  <c r="J155" i="10" s="1"/>
  <c r="I156" i="10"/>
  <c r="J156" i="10" s="1"/>
  <c r="I157" i="10"/>
  <c r="J157" i="10" s="1"/>
  <c r="I158" i="10"/>
  <c r="J158" i="10" s="1"/>
  <c r="I159" i="10"/>
  <c r="J159" i="10" s="1"/>
  <c r="I160" i="10"/>
  <c r="J160" i="10" s="1"/>
  <c r="I161" i="10"/>
  <c r="J161" i="10" s="1"/>
  <c r="I162" i="10"/>
  <c r="J162" i="10" s="1"/>
  <c r="I163" i="10"/>
  <c r="J163" i="10" s="1"/>
  <c r="I164" i="10"/>
  <c r="J164" i="10" s="1"/>
  <c r="I165" i="10"/>
  <c r="J165" i="10" s="1"/>
  <c r="I166" i="10"/>
  <c r="J166" i="10" s="1"/>
  <c r="I167" i="10"/>
  <c r="J167" i="10" s="1"/>
  <c r="I168" i="10"/>
  <c r="J168" i="10" s="1"/>
  <c r="I169" i="10"/>
  <c r="J169" i="10" s="1"/>
  <c r="I170" i="10"/>
  <c r="I171" i="10"/>
  <c r="I172" i="10"/>
  <c r="J172" i="10" s="1"/>
  <c r="I173" i="10"/>
  <c r="J173" i="10" s="1"/>
  <c r="I174" i="10"/>
  <c r="J174" i="10" s="1"/>
  <c r="I175" i="10"/>
  <c r="J175" i="10" s="1"/>
  <c r="I176" i="10"/>
  <c r="J176" i="10" s="1"/>
  <c r="I177" i="10"/>
  <c r="J177" i="10" s="1"/>
  <c r="I178" i="10"/>
  <c r="J178" i="10" s="1"/>
  <c r="I179" i="10"/>
  <c r="J179" i="10" s="1"/>
  <c r="I180" i="10"/>
  <c r="J180" i="10" s="1"/>
  <c r="I181" i="10"/>
  <c r="J181" i="10" s="1"/>
  <c r="I182" i="10"/>
  <c r="J182" i="10" s="1"/>
  <c r="I183" i="10"/>
  <c r="J183" i="10" s="1"/>
  <c r="I184" i="10"/>
  <c r="J184" i="10" s="1"/>
  <c r="I185" i="10"/>
  <c r="J185" i="10" s="1"/>
  <c r="I186" i="10"/>
  <c r="J186" i="10" s="1"/>
  <c r="I187" i="10"/>
  <c r="J187" i="10" s="1"/>
  <c r="I188" i="10"/>
  <c r="J188" i="10" s="1"/>
  <c r="I189" i="10"/>
  <c r="J189" i="10" s="1"/>
  <c r="I190" i="10"/>
  <c r="I191" i="10"/>
  <c r="I192" i="10"/>
  <c r="J192" i="10" s="1"/>
  <c r="I193" i="10"/>
  <c r="J193" i="10" s="1"/>
  <c r="I194" i="10"/>
  <c r="J194" i="10" s="1"/>
  <c r="I195" i="10"/>
  <c r="J195" i="10" s="1"/>
  <c r="I196" i="10"/>
  <c r="J196" i="10" s="1"/>
  <c r="I197" i="10"/>
  <c r="J197" i="10" s="1"/>
  <c r="I198" i="10"/>
  <c r="J198" i="10" s="1"/>
  <c r="I199" i="10"/>
  <c r="J199" i="10" s="1"/>
  <c r="I200" i="10"/>
  <c r="I201" i="10"/>
  <c r="I202" i="10"/>
  <c r="J202" i="10" s="1"/>
  <c r="I203" i="10"/>
  <c r="J203" i="10" s="1"/>
  <c r="I204" i="10"/>
  <c r="J204" i="10" s="1"/>
  <c r="I205" i="10"/>
  <c r="J205" i="10" s="1"/>
  <c r="I206" i="10"/>
  <c r="J206" i="10" s="1"/>
  <c r="I207" i="10"/>
  <c r="J207" i="10" s="1"/>
  <c r="I208" i="10"/>
  <c r="J208" i="10" s="1"/>
  <c r="I209" i="10"/>
  <c r="J209" i="10" s="1"/>
  <c r="I210" i="10"/>
  <c r="J210" i="10" s="1"/>
  <c r="I211" i="10"/>
  <c r="J211" i="10" s="1"/>
  <c r="I212" i="10"/>
  <c r="J212" i="10" s="1"/>
  <c r="I213" i="10"/>
  <c r="J213" i="10" s="1"/>
  <c r="I214" i="10"/>
  <c r="J214" i="10" s="1"/>
  <c r="I215" i="10"/>
  <c r="J215" i="10" s="1"/>
  <c r="I216" i="10"/>
  <c r="J216" i="10" s="1"/>
  <c r="I217" i="10"/>
  <c r="J217" i="10" s="1"/>
  <c r="I218" i="10"/>
  <c r="J218" i="10" s="1"/>
  <c r="I219" i="10"/>
  <c r="J219" i="10" s="1"/>
  <c r="I220" i="10"/>
  <c r="I221" i="10"/>
  <c r="I222" i="10"/>
  <c r="J222" i="10" s="1"/>
  <c r="I223" i="10"/>
  <c r="J223" i="10" s="1"/>
  <c r="I224" i="10"/>
  <c r="J224" i="10" s="1"/>
  <c r="I225" i="10"/>
  <c r="J225" i="10" s="1"/>
  <c r="I226" i="10"/>
  <c r="J226" i="10" s="1"/>
  <c r="I227" i="10"/>
  <c r="J227" i="10" s="1"/>
  <c r="I228" i="10"/>
  <c r="J228" i="10" s="1"/>
  <c r="I229" i="10"/>
  <c r="J229" i="10" s="1"/>
  <c r="I230" i="10"/>
  <c r="J230" i="10" s="1"/>
  <c r="I231" i="10"/>
  <c r="J231" i="10" s="1"/>
  <c r="I232" i="10"/>
  <c r="J232" i="10" s="1"/>
  <c r="I233" i="10"/>
  <c r="J233" i="10" s="1"/>
  <c r="I234" i="10"/>
  <c r="J234" i="10" s="1"/>
  <c r="I235" i="10"/>
  <c r="J235" i="10" s="1"/>
  <c r="I236" i="10"/>
  <c r="J236" i="10" s="1"/>
  <c r="I237" i="10"/>
  <c r="J237" i="10" s="1"/>
  <c r="I238" i="10"/>
  <c r="J238" i="10" s="1"/>
  <c r="I239" i="10"/>
  <c r="J239" i="10" s="1"/>
  <c r="I240" i="10"/>
  <c r="I241" i="10"/>
  <c r="I242" i="10"/>
  <c r="J242" i="10" s="1"/>
  <c r="I243" i="10"/>
  <c r="J243" i="10" s="1"/>
  <c r="I244" i="10"/>
  <c r="J244" i="10" s="1"/>
  <c r="I245" i="10"/>
  <c r="J245" i="10" s="1"/>
  <c r="I246" i="10"/>
  <c r="J246" i="10" s="1"/>
  <c r="I247" i="10"/>
  <c r="J247" i="10" s="1"/>
  <c r="I248" i="10"/>
  <c r="J248" i="10" s="1"/>
  <c r="I249" i="10"/>
  <c r="J249" i="10" s="1"/>
  <c r="I250" i="10"/>
  <c r="I251" i="10"/>
  <c r="I252" i="10"/>
  <c r="J252" i="10" s="1"/>
  <c r="I253" i="10"/>
  <c r="J253" i="10" s="1"/>
  <c r="I254" i="10"/>
  <c r="J254" i="10" s="1"/>
  <c r="I255" i="10"/>
  <c r="J255" i="10" s="1"/>
  <c r="I256" i="10"/>
  <c r="J256" i="10" s="1"/>
  <c r="I257" i="10"/>
  <c r="J257" i="10" s="1"/>
  <c r="I258" i="10"/>
  <c r="J258" i="10" s="1"/>
  <c r="I259" i="10"/>
  <c r="J259" i="10" s="1"/>
  <c r="I260" i="10"/>
  <c r="J260" i="10" s="1"/>
  <c r="I261" i="10"/>
  <c r="J261" i="10" s="1"/>
  <c r="I262" i="10"/>
  <c r="J262" i="10" s="1"/>
  <c r="I263" i="10"/>
  <c r="J263" i="10" s="1"/>
  <c r="I264" i="10"/>
  <c r="J264" i="10" s="1"/>
  <c r="I265" i="10"/>
  <c r="J265" i="10" s="1"/>
  <c r="I266" i="10"/>
  <c r="J266" i="10" s="1"/>
  <c r="I267" i="10"/>
  <c r="J267" i="10" s="1"/>
  <c r="I268" i="10"/>
  <c r="J268" i="10" s="1"/>
  <c r="I269" i="10"/>
  <c r="J269" i="10" s="1"/>
  <c r="I270" i="10"/>
  <c r="I271" i="10"/>
  <c r="I272" i="10"/>
  <c r="J272" i="10" s="1"/>
  <c r="I273" i="10"/>
  <c r="J273" i="10" s="1"/>
  <c r="I274" i="10"/>
  <c r="J274" i="10" s="1"/>
  <c r="I275" i="10"/>
  <c r="J275" i="10" s="1"/>
  <c r="I276" i="10"/>
  <c r="J276" i="10" s="1"/>
  <c r="I277" i="10"/>
  <c r="J277" i="10" s="1"/>
  <c r="I278" i="10"/>
  <c r="J278" i="10" s="1"/>
  <c r="I279" i="10"/>
  <c r="J279" i="10" s="1"/>
  <c r="I280" i="10"/>
  <c r="J280" i="10" s="1"/>
  <c r="I281" i="10"/>
  <c r="J281" i="10" s="1"/>
  <c r="I282" i="10"/>
  <c r="J282" i="10" s="1"/>
  <c r="I283" i="10"/>
  <c r="J283" i="10" s="1"/>
  <c r="I284" i="10"/>
  <c r="J284" i="10" s="1"/>
  <c r="I285" i="10"/>
  <c r="J285" i="10" s="1"/>
  <c r="I286" i="10"/>
  <c r="J286" i="10" s="1"/>
  <c r="I287" i="10"/>
  <c r="J287" i="10" s="1"/>
  <c r="I288" i="10"/>
  <c r="J288" i="10" s="1"/>
  <c r="I289" i="10"/>
  <c r="J289" i="10" s="1"/>
  <c r="I290" i="10"/>
  <c r="I291" i="10"/>
  <c r="I292" i="10"/>
  <c r="J292" i="10" s="1"/>
  <c r="I293" i="10"/>
  <c r="J293" i="10" s="1"/>
  <c r="I294" i="10"/>
  <c r="J294" i="10" s="1"/>
  <c r="I295" i="10"/>
  <c r="J295" i="10" s="1"/>
  <c r="I296" i="10"/>
  <c r="J296" i="10" s="1"/>
  <c r="I297" i="10"/>
  <c r="J297" i="10" s="1"/>
  <c r="I298" i="10"/>
  <c r="J298" i="10" s="1"/>
  <c r="I299" i="10"/>
  <c r="J299" i="10" s="1"/>
  <c r="I300" i="10"/>
  <c r="I301" i="10"/>
  <c r="I302" i="10"/>
  <c r="J302" i="10" s="1"/>
  <c r="I303" i="10"/>
  <c r="J303" i="10" s="1"/>
  <c r="I304" i="10"/>
  <c r="J304" i="10" s="1"/>
  <c r="I305" i="10"/>
  <c r="J305" i="10" s="1"/>
  <c r="I306" i="10"/>
  <c r="J306" i="10" s="1"/>
  <c r="I307" i="10"/>
  <c r="J307" i="10" s="1"/>
  <c r="I308" i="10"/>
  <c r="J308" i="10" s="1"/>
  <c r="I309" i="10"/>
  <c r="J309" i="10" s="1"/>
  <c r="I310" i="10"/>
  <c r="J310" i="10" s="1"/>
  <c r="I311" i="10"/>
  <c r="J311" i="10" s="1"/>
  <c r="I312" i="10"/>
  <c r="J312" i="10" s="1"/>
  <c r="I313" i="10"/>
  <c r="J313" i="10" s="1"/>
  <c r="I314" i="10"/>
  <c r="J314" i="10" s="1"/>
  <c r="I315" i="10"/>
  <c r="J315" i="10" s="1"/>
  <c r="I316" i="10"/>
  <c r="J316" i="10" s="1"/>
  <c r="I317" i="10"/>
  <c r="J317" i="10" s="1"/>
  <c r="I318" i="10"/>
  <c r="J318" i="10" s="1"/>
  <c r="I319" i="10"/>
  <c r="J319" i="10" s="1"/>
  <c r="I320" i="10"/>
  <c r="I321" i="10"/>
  <c r="I322" i="10"/>
  <c r="J322" i="10" s="1"/>
  <c r="I323" i="10"/>
  <c r="J323" i="10" s="1"/>
  <c r="I324" i="10"/>
  <c r="J324" i="10" s="1"/>
  <c r="I325" i="10"/>
  <c r="J325" i="10" s="1"/>
  <c r="I326" i="10"/>
  <c r="J326" i="10" s="1"/>
  <c r="I327" i="10"/>
  <c r="J327" i="10" s="1"/>
  <c r="I328" i="10"/>
  <c r="J328" i="10" s="1"/>
  <c r="I329" i="10"/>
  <c r="J329" i="10" s="1"/>
  <c r="I330" i="10"/>
  <c r="J330" i="10" s="1"/>
  <c r="I331" i="10"/>
  <c r="J331" i="10" s="1"/>
  <c r="I332" i="10"/>
  <c r="J332" i="10" s="1"/>
  <c r="I333" i="10"/>
  <c r="J333" i="10" s="1"/>
  <c r="I334" i="10"/>
  <c r="J334" i="10" s="1"/>
  <c r="I335" i="10"/>
  <c r="J335" i="10" s="1"/>
  <c r="I336" i="10"/>
  <c r="J336" i="10" s="1"/>
  <c r="I337" i="10"/>
  <c r="J337" i="10" s="1"/>
  <c r="I338" i="10"/>
  <c r="J338" i="10" s="1"/>
  <c r="I339" i="10"/>
  <c r="J339" i="10" s="1"/>
  <c r="I340" i="10"/>
  <c r="I341" i="10"/>
  <c r="I342" i="10"/>
  <c r="J342" i="10" s="1"/>
  <c r="I343" i="10"/>
  <c r="J343" i="10" s="1"/>
  <c r="I344" i="10"/>
  <c r="J344" i="10" s="1"/>
  <c r="I345" i="10"/>
  <c r="J345" i="10" s="1"/>
  <c r="I346" i="10"/>
  <c r="J346" i="10" s="1"/>
  <c r="I347" i="10"/>
  <c r="J347" i="10" s="1"/>
  <c r="I348" i="10"/>
  <c r="J348" i="10" s="1"/>
  <c r="I349" i="10"/>
  <c r="J349" i="10" s="1"/>
  <c r="I350" i="10"/>
  <c r="I351" i="10"/>
  <c r="I352" i="10"/>
  <c r="J352" i="10" s="1"/>
  <c r="I353" i="10"/>
  <c r="J353" i="10" s="1"/>
  <c r="I354" i="10"/>
  <c r="J354" i="10" s="1"/>
  <c r="I355" i="10"/>
  <c r="J355" i="10" s="1"/>
  <c r="I356" i="10"/>
  <c r="J356" i="10" s="1"/>
  <c r="I357" i="10"/>
  <c r="J357" i="10" s="1"/>
  <c r="I358" i="10"/>
  <c r="J358" i="10" s="1"/>
  <c r="I359" i="10"/>
  <c r="J359" i="10" s="1"/>
  <c r="I360" i="10"/>
  <c r="J360" i="10" s="1"/>
  <c r="I361" i="10"/>
  <c r="J361" i="10" s="1"/>
  <c r="I362" i="10"/>
  <c r="J362" i="10" s="1"/>
  <c r="I363" i="10"/>
  <c r="J363" i="10" s="1"/>
  <c r="I364" i="10"/>
  <c r="J364" i="10" s="1"/>
  <c r="I365" i="10"/>
  <c r="J365" i="10" s="1"/>
  <c r="I366" i="10"/>
  <c r="J366" i="10" s="1"/>
  <c r="I367" i="10"/>
  <c r="J367" i="10" s="1"/>
  <c r="I4" i="10"/>
  <c r="J4" i="10" s="1"/>
  <c r="I3" i="10"/>
  <c r="J3" i="10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H3" i="10"/>
  <c r="G3" i="10"/>
  <c r="F3" i="10"/>
  <c r="E3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" i="10"/>
  <c r="K3" i="8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" i="10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" i="9"/>
  <c r="K6" i="9"/>
  <c r="K5" i="9"/>
  <c r="D367" i="9"/>
  <c r="C367" i="9"/>
  <c r="B367" i="9"/>
  <c r="D366" i="9"/>
  <c r="C366" i="9"/>
  <c r="B366" i="9"/>
  <c r="D365" i="9"/>
  <c r="C365" i="9"/>
  <c r="B365" i="9"/>
  <c r="D364" i="9"/>
  <c r="C364" i="9"/>
  <c r="B364" i="9"/>
  <c r="D363" i="9"/>
  <c r="C363" i="9"/>
  <c r="B363" i="9"/>
  <c r="D362" i="9"/>
  <c r="C362" i="9"/>
  <c r="B362" i="9"/>
  <c r="D361" i="9"/>
  <c r="C361" i="9"/>
  <c r="B361" i="9"/>
  <c r="D360" i="9"/>
  <c r="C360" i="9"/>
  <c r="B360" i="9"/>
  <c r="D359" i="9"/>
  <c r="C359" i="9"/>
  <c r="B359" i="9"/>
  <c r="D358" i="9"/>
  <c r="C358" i="9"/>
  <c r="B358" i="9"/>
  <c r="D357" i="9"/>
  <c r="C357" i="9"/>
  <c r="B357" i="9"/>
  <c r="D356" i="9"/>
  <c r="C356" i="9"/>
  <c r="B356" i="9"/>
  <c r="D355" i="9"/>
  <c r="C355" i="9"/>
  <c r="B355" i="9"/>
  <c r="D354" i="9"/>
  <c r="C354" i="9"/>
  <c r="B354" i="9"/>
  <c r="D353" i="9"/>
  <c r="C353" i="9"/>
  <c r="B353" i="9"/>
  <c r="D352" i="9"/>
  <c r="C352" i="9"/>
  <c r="B352" i="9"/>
  <c r="D351" i="9"/>
  <c r="C351" i="9"/>
  <c r="B351" i="9"/>
  <c r="D350" i="9"/>
  <c r="C350" i="9"/>
  <c r="B350" i="9"/>
  <c r="D349" i="9"/>
  <c r="C349" i="9"/>
  <c r="B349" i="9"/>
  <c r="D348" i="9"/>
  <c r="C348" i="9"/>
  <c r="B348" i="9"/>
  <c r="D347" i="9"/>
  <c r="C347" i="9"/>
  <c r="B347" i="9"/>
  <c r="D346" i="9"/>
  <c r="C346" i="9"/>
  <c r="B346" i="9"/>
  <c r="D345" i="9"/>
  <c r="C345" i="9"/>
  <c r="B345" i="9"/>
  <c r="D344" i="9"/>
  <c r="C344" i="9"/>
  <c r="B344" i="9"/>
  <c r="D343" i="9"/>
  <c r="C343" i="9"/>
  <c r="B343" i="9"/>
  <c r="D342" i="9"/>
  <c r="C342" i="9"/>
  <c r="B342" i="9"/>
  <c r="D341" i="9"/>
  <c r="C341" i="9"/>
  <c r="B341" i="9"/>
  <c r="D340" i="9"/>
  <c r="C340" i="9"/>
  <c r="B340" i="9"/>
  <c r="D339" i="9"/>
  <c r="C339" i="9"/>
  <c r="B339" i="9"/>
  <c r="D338" i="9"/>
  <c r="C338" i="9"/>
  <c r="B338" i="9"/>
  <c r="D337" i="9"/>
  <c r="C337" i="9"/>
  <c r="B337" i="9"/>
  <c r="D336" i="9"/>
  <c r="C336" i="9"/>
  <c r="B336" i="9"/>
  <c r="D335" i="9"/>
  <c r="C335" i="9"/>
  <c r="B335" i="9"/>
  <c r="D334" i="9"/>
  <c r="C334" i="9"/>
  <c r="B334" i="9"/>
  <c r="D333" i="9"/>
  <c r="C333" i="9"/>
  <c r="B333" i="9"/>
  <c r="D332" i="9"/>
  <c r="C332" i="9"/>
  <c r="B332" i="9"/>
  <c r="D331" i="9"/>
  <c r="C331" i="9"/>
  <c r="B331" i="9"/>
  <c r="D330" i="9"/>
  <c r="C330" i="9"/>
  <c r="B330" i="9"/>
  <c r="D329" i="9"/>
  <c r="C329" i="9"/>
  <c r="B329" i="9"/>
  <c r="D328" i="9"/>
  <c r="C328" i="9"/>
  <c r="B328" i="9"/>
  <c r="D327" i="9"/>
  <c r="C327" i="9"/>
  <c r="B327" i="9"/>
  <c r="D326" i="9"/>
  <c r="C326" i="9"/>
  <c r="B326" i="9"/>
  <c r="D325" i="9"/>
  <c r="C325" i="9"/>
  <c r="B325" i="9"/>
  <c r="D324" i="9"/>
  <c r="C324" i="9"/>
  <c r="B324" i="9"/>
  <c r="D323" i="9"/>
  <c r="C323" i="9"/>
  <c r="B323" i="9"/>
  <c r="D322" i="9"/>
  <c r="C322" i="9"/>
  <c r="B322" i="9"/>
  <c r="D321" i="9"/>
  <c r="C321" i="9"/>
  <c r="B321" i="9"/>
  <c r="D320" i="9"/>
  <c r="C320" i="9"/>
  <c r="B320" i="9"/>
  <c r="D319" i="9"/>
  <c r="C319" i="9"/>
  <c r="B319" i="9"/>
  <c r="D318" i="9"/>
  <c r="C318" i="9"/>
  <c r="B318" i="9"/>
  <c r="D317" i="9"/>
  <c r="C317" i="9"/>
  <c r="B317" i="9"/>
  <c r="D316" i="9"/>
  <c r="C316" i="9"/>
  <c r="B316" i="9"/>
  <c r="D315" i="9"/>
  <c r="C315" i="9"/>
  <c r="B315" i="9"/>
  <c r="D314" i="9"/>
  <c r="C314" i="9"/>
  <c r="B314" i="9"/>
  <c r="D313" i="9"/>
  <c r="C313" i="9"/>
  <c r="B313" i="9"/>
  <c r="D312" i="9"/>
  <c r="C312" i="9"/>
  <c r="B312" i="9"/>
  <c r="D311" i="9"/>
  <c r="C311" i="9"/>
  <c r="B311" i="9"/>
  <c r="D310" i="9"/>
  <c r="C310" i="9"/>
  <c r="B310" i="9"/>
  <c r="D309" i="9"/>
  <c r="C309" i="9"/>
  <c r="B309" i="9"/>
  <c r="D308" i="9"/>
  <c r="C308" i="9"/>
  <c r="B308" i="9"/>
  <c r="D307" i="9"/>
  <c r="C307" i="9"/>
  <c r="B307" i="9"/>
  <c r="D306" i="9"/>
  <c r="C306" i="9"/>
  <c r="B306" i="9"/>
  <c r="D305" i="9"/>
  <c r="C305" i="9"/>
  <c r="B305" i="9"/>
  <c r="D304" i="9"/>
  <c r="C304" i="9"/>
  <c r="B304" i="9"/>
  <c r="D303" i="9"/>
  <c r="C303" i="9"/>
  <c r="B303" i="9"/>
  <c r="D302" i="9"/>
  <c r="C302" i="9"/>
  <c r="B302" i="9"/>
  <c r="D301" i="9"/>
  <c r="C301" i="9"/>
  <c r="B301" i="9"/>
  <c r="D300" i="9"/>
  <c r="C300" i="9"/>
  <c r="B300" i="9"/>
  <c r="D299" i="9"/>
  <c r="C299" i="9"/>
  <c r="B299" i="9"/>
  <c r="D298" i="9"/>
  <c r="C298" i="9"/>
  <c r="B298" i="9"/>
  <c r="D297" i="9"/>
  <c r="C297" i="9"/>
  <c r="B297" i="9"/>
  <c r="D296" i="9"/>
  <c r="C296" i="9"/>
  <c r="B296" i="9"/>
  <c r="D295" i="9"/>
  <c r="C295" i="9"/>
  <c r="B295" i="9"/>
  <c r="D294" i="9"/>
  <c r="C294" i="9"/>
  <c r="B294" i="9"/>
  <c r="D293" i="9"/>
  <c r="C293" i="9"/>
  <c r="B293" i="9"/>
  <c r="D292" i="9"/>
  <c r="C292" i="9"/>
  <c r="B292" i="9"/>
  <c r="D291" i="9"/>
  <c r="C291" i="9"/>
  <c r="B291" i="9"/>
  <c r="D290" i="9"/>
  <c r="C290" i="9"/>
  <c r="B290" i="9"/>
  <c r="D289" i="9"/>
  <c r="C289" i="9"/>
  <c r="B289" i="9"/>
  <c r="D288" i="9"/>
  <c r="C288" i="9"/>
  <c r="B288" i="9"/>
  <c r="D287" i="9"/>
  <c r="C287" i="9"/>
  <c r="B287" i="9"/>
  <c r="D286" i="9"/>
  <c r="C286" i="9"/>
  <c r="B286" i="9"/>
  <c r="D285" i="9"/>
  <c r="C285" i="9"/>
  <c r="B285" i="9"/>
  <c r="D284" i="9"/>
  <c r="C284" i="9"/>
  <c r="B284" i="9"/>
  <c r="D283" i="9"/>
  <c r="C283" i="9"/>
  <c r="B283" i="9"/>
  <c r="D282" i="9"/>
  <c r="C282" i="9"/>
  <c r="B282" i="9"/>
  <c r="D281" i="9"/>
  <c r="C281" i="9"/>
  <c r="B281" i="9"/>
  <c r="D280" i="9"/>
  <c r="C280" i="9"/>
  <c r="B280" i="9"/>
  <c r="D279" i="9"/>
  <c r="C279" i="9"/>
  <c r="B279" i="9"/>
  <c r="D278" i="9"/>
  <c r="C278" i="9"/>
  <c r="B278" i="9"/>
  <c r="D277" i="9"/>
  <c r="C277" i="9"/>
  <c r="B277" i="9"/>
  <c r="D276" i="9"/>
  <c r="C276" i="9"/>
  <c r="B276" i="9"/>
  <c r="D275" i="9"/>
  <c r="C275" i="9"/>
  <c r="B275" i="9"/>
  <c r="D274" i="9"/>
  <c r="C274" i="9"/>
  <c r="B274" i="9"/>
  <c r="D273" i="9"/>
  <c r="C273" i="9"/>
  <c r="B273" i="9"/>
  <c r="D272" i="9"/>
  <c r="C272" i="9"/>
  <c r="B272" i="9"/>
  <c r="D271" i="9"/>
  <c r="C271" i="9"/>
  <c r="B271" i="9"/>
  <c r="D270" i="9"/>
  <c r="C270" i="9"/>
  <c r="B270" i="9"/>
  <c r="D269" i="9"/>
  <c r="C269" i="9"/>
  <c r="B269" i="9"/>
  <c r="D268" i="9"/>
  <c r="C268" i="9"/>
  <c r="B268" i="9"/>
  <c r="D267" i="9"/>
  <c r="C267" i="9"/>
  <c r="B267" i="9"/>
  <c r="D266" i="9"/>
  <c r="C266" i="9"/>
  <c r="B266" i="9"/>
  <c r="D265" i="9"/>
  <c r="C265" i="9"/>
  <c r="B265" i="9"/>
  <c r="D264" i="9"/>
  <c r="C264" i="9"/>
  <c r="B264" i="9"/>
  <c r="D263" i="9"/>
  <c r="C263" i="9"/>
  <c r="B263" i="9"/>
  <c r="D262" i="9"/>
  <c r="C262" i="9"/>
  <c r="B262" i="9"/>
  <c r="D261" i="9"/>
  <c r="C261" i="9"/>
  <c r="B261" i="9"/>
  <c r="D260" i="9"/>
  <c r="C260" i="9"/>
  <c r="B260" i="9"/>
  <c r="D259" i="9"/>
  <c r="C259" i="9"/>
  <c r="B259" i="9"/>
  <c r="D258" i="9"/>
  <c r="C258" i="9"/>
  <c r="B258" i="9"/>
  <c r="D257" i="9"/>
  <c r="C257" i="9"/>
  <c r="B257" i="9"/>
  <c r="D256" i="9"/>
  <c r="C256" i="9"/>
  <c r="B256" i="9"/>
  <c r="D255" i="9"/>
  <c r="C255" i="9"/>
  <c r="B255" i="9"/>
  <c r="D254" i="9"/>
  <c r="C254" i="9"/>
  <c r="B254" i="9"/>
  <c r="D253" i="9"/>
  <c r="C253" i="9"/>
  <c r="B253" i="9"/>
  <c r="D252" i="9"/>
  <c r="C252" i="9"/>
  <c r="B252" i="9"/>
  <c r="D251" i="9"/>
  <c r="C251" i="9"/>
  <c r="B251" i="9"/>
  <c r="D250" i="9"/>
  <c r="C250" i="9"/>
  <c r="B250" i="9"/>
  <c r="D249" i="9"/>
  <c r="C249" i="9"/>
  <c r="B249" i="9"/>
  <c r="D248" i="9"/>
  <c r="C248" i="9"/>
  <c r="B248" i="9"/>
  <c r="D247" i="9"/>
  <c r="C247" i="9"/>
  <c r="B247" i="9"/>
  <c r="D246" i="9"/>
  <c r="C246" i="9"/>
  <c r="B246" i="9"/>
  <c r="D245" i="9"/>
  <c r="C245" i="9"/>
  <c r="B245" i="9"/>
  <c r="D244" i="9"/>
  <c r="C244" i="9"/>
  <c r="B244" i="9"/>
  <c r="D243" i="9"/>
  <c r="C243" i="9"/>
  <c r="B243" i="9"/>
  <c r="D242" i="9"/>
  <c r="C242" i="9"/>
  <c r="B242" i="9"/>
  <c r="D241" i="9"/>
  <c r="C241" i="9"/>
  <c r="B241" i="9"/>
  <c r="D240" i="9"/>
  <c r="C240" i="9"/>
  <c r="B240" i="9"/>
  <c r="D239" i="9"/>
  <c r="C239" i="9"/>
  <c r="B239" i="9"/>
  <c r="D238" i="9"/>
  <c r="C238" i="9"/>
  <c r="B238" i="9"/>
  <c r="D237" i="9"/>
  <c r="C237" i="9"/>
  <c r="B237" i="9"/>
  <c r="D236" i="9"/>
  <c r="C236" i="9"/>
  <c r="B236" i="9"/>
  <c r="D235" i="9"/>
  <c r="C235" i="9"/>
  <c r="B235" i="9"/>
  <c r="D234" i="9"/>
  <c r="C234" i="9"/>
  <c r="B234" i="9"/>
  <c r="D233" i="9"/>
  <c r="C233" i="9"/>
  <c r="B233" i="9"/>
  <c r="D232" i="9"/>
  <c r="C232" i="9"/>
  <c r="B232" i="9"/>
  <c r="D231" i="9"/>
  <c r="C231" i="9"/>
  <c r="B231" i="9"/>
  <c r="D230" i="9"/>
  <c r="C230" i="9"/>
  <c r="B230" i="9"/>
  <c r="D229" i="9"/>
  <c r="C229" i="9"/>
  <c r="B229" i="9"/>
  <c r="D228" i="9"/>
  <c r="C228" i="9"/>
  <c r="B228" i="9"/>
  <c r="D227" i="9"/>
  <c r="C227" i="9"/>
  <c r="B227" i="9"/>
  <c r="D226" i="9"/>
  <c r="C226" i="9"/>
  <c r="B226" i="9"/>
  <c r="D225" i="9"/>
  <c r="C225" i="9"/>
  <c r="B225" i="9"/>
  <c r="D224" i="9"/>
  <c r="C224" i="9"/>
  <c r="B224" i="9"/>
  <c r="D223" i="9"/>
  <c r="C223" i="9"/>
  <c r="B223" i="9"/>
  <c r="D222" i="9"/>
  <c r="C222" i="9"/>
  <c r="B222" i="9"/>
  <c r="D221" i="9"/>
  <c r="C221" i="9"/>
  <c r="B221" i="9"/>
  <c r="D220" i="9"/>
  <c r="C220" i="9"/>
  <c r="B220" i="9"/>
  <c r="D219" i="9"/>
  <c r="C219" i="9"/>
  <c r="B219" i="9"/>
  <c r="D218" i="9"/>
  <c r="C218" i="9"/>
  <c r="B218" i="9"/>
  <c r="D217" i="9"/>
  <c r="C217" i="9"/>
  <c r="B217" i="9"/>
  <c r="D216" i="9"/>
  <c r="C216" i="9"/>
  <c r="B216" i="9"/>
  <c r="D215" i="9"/>
  <c r="C215" i="9"/>
  <c r="B215" i="9"/>
  <c r="D214" i="9"/>
  <c r="C214" i="9"/>
  <c r="B214" i="9"/>
  <c r="D213" i="9"/>
  <c r="C213" i="9"/>
  <c r="B213" i="9"/>
  <c r="D212" i="9"/>
  <c r="C212" i="9"/>
  <c r="B212" i="9"/>
  <c r="D211" i="9"/>
  <c r="C211" i="9"/>
  <c r="B211" i="9"/>
  <c r="D210" i="9"/>
  <c r="C210" i="9"/>
  <c r="B210" i="9"/>
  <c r="D209" i="9"/>
  <c r="C209" i="9"/>
  <c r="B209" i="9"/>
  <c r="D208" i="9"/>
  <c r="C208" i="9"/>
  <c r="B208" i="9"/>
  <c r="D207" i="9"/>
  <c r="C207" i="9"/>
  <c r="B207" i="9"/>
  <c r="D206" i="9"/>
  <c r="C206" i="9"/>
  <c r="B206" i="9"/>
  <c r="D205" i="9"/>
  <c r="C205" i="9"/>
  <c r="B205" i="9"/>
  <c r="D204" i="9"/>
  <c r="C204" i="9"/>
  <c r="B204" i="9"/>
  <c r="D203" i="9"/>
  <c r="C203" i="9"/>
  <c r="B203" i="9"/>
  <c r="D202" i="9"/>
  <c r="C202" i="9"/>
  <c r="B202" i="9"/>
  <c r="D201" i="9"/>
  <c r="C201" i="9"/>
  <c r="B201" i="9"/>
  <c r="D200" i="9"/>
  <c r="C200" i="9"/>
  <c r="B200" i="9"/>
  <c r="D199" i="9"/>
  <c r="C199" i="9"/>
  <c r="B199" i="9"/>
  <c r="D198" i="9"/>
  <c r="C198" i="9"/>
  <c r="B198" i="9"/>
  <c r="D197" i="9"/>
  <c r="C197" i="9"/>
  <c r="B197" i="9"/>
  <c r="D196" i="9"/>
  <c r="C196" i="9"/>
  <c r="B196" i="9"/>
  <c r="D195" i="9"/>
  <c r="C195" i="9"/>
  <c r="B195" i="9"/>
  <c r="D194" i="9"/>
  <c r="C194" i="9"/>
  <c r="B194" i="9"/>
  <c r="D193" i="9"/>
  <c r="C193" i="9"/>
  <c r="B193" i="9"/>
  <c r="D192" i="9"/>
  <c r="C192" i="9"/>
  <c r="B192" i="9"/>
  <c r="D191" i="9"/>
  <c r="C191" i="9"/>
  <c r="B191" i="9"/>
  <c r="D190" i="9"/>
  <c r="C190" i="9"/>
  <c r="B190" i="9"/>
  <c r="D189" i="9"/>
  <c r="C189" i="9"/>
  <c r="B189" i="9"/>
  <c r="D188" i="9"/>
  <c r="C188" i="9"/>
  <c r="B188" i="9"/>
  <c r="D187" i="9"/>
  <c r="C187" i="9"/>
  <c r="B187" i="9"/>
  <c r="D186" i="9"/>
  <c r="C186" i="9"/>
  <c r="B186" i="9"/>
  <c r="D185" i="9"/>
  <c r="C185" i="9"/>
  <c r="B185" i="9"/>
  <c r="D184" i="9"/>
  <c r="C184" i="9"/>
  <c r="B184" i="9"/>
  <c r="D183" i="9"/>
  <c r="C183" i="9"/>
  <c r="B183" i="9"/>
  <c r="D182" i="9"/>
  <c r="C182" i="9"/>
  <c r="B182" i="9"/>
  <c r="D181" i="9"/>
  <c r="C181" i="9"/>
  <c r="B181" i="9"/>
  <c r="D180" i="9"/>
  <c r="C180" i="9"/>
  <c r="B180" i="9"/>
  <c r="D179" i="9"/>
  <c r="C179" i="9"/>
  <c r="B179" i="9"/>
  <c r="D178" i="9"/>
  <c r="C178" i="9"/>
  <c r="B178" i="9"/>
  <c r="D177" i="9"/>
  <c r="C177" i="9"/>
  <c r="B177" i="9"/>
  <c r="D176" i="9"/>
  <c r="C176" i="9"/>
  <c r="B176" i="9"/>
  <c r="D175" i="9"/>
  <c r="C175" i="9"/>
  <c r="B175" i="9"/>
  <c r="D174" i="9"/>
  <c r="C174" i="9"/>
  <c r="B174" i="9"/>
  <c r="D173" i="9"/>
  <c r="C173" i="9"/>
  <c r="B173" i="9"/>
  <c r="D172" i="9"/>
  <c r="C172" i="9"/>
  <c r="B172" i="9"/>
  <c r="D171" i="9"/>
  <c r="C171" i="9"/>
  <c r="B171" i="9"/>
  <c r="D170" i="9"/>
  <c r="C170" i="9"/>
  <c r="B170" i="9"/>
  <c r="D169" i="9"/>
  <c r="C169" i="9"/>
  <c r="B169" i="9"/>
  <c r="D168" i="9"/>
  <c r="C168" i="9"/>
  <c r="B168" i="9"/>
  <c r="D167" i="9"/>
  <c r="C167" i="9"/>
  <c r="B167" i="9"/>
  <c r="D166" i="9"/>
  <c r="C166" i="9"/>
  <c r="B166" i="9"/>
  <c r="D165" i="9"/>
  <c r="C165" i="9"/>
  <c r="B165" i="9"/>
  <c r="D164" i="9"/>
  <c r="C164" i="9"/>
  <c r="B164" i="9"/>
  <c r="D163" i="9"/>
  <c r="C163" i="9"/>
  <c r="B163" i="9"/>
  <c r="D162" i="9"/>
  <c r="C162" i="9"/>
  <c r="B162" i="9"/>
  <c r="D161" i="9"/>
  <c r="C161" i="9"/>
  <c r="B161" i="9"/>
  <c r="D160" i="9"/>
  <c r="C160" i="9"/>
  <c r="B160" i="9"/>
  <c r="D159" i="9"/>
  <c r="C159" i="9"/>
  <c r="B159" i="9"/>
  <c r="D158" i="9"/>
  <c r="C158" i="9"/>
  <c r="B158" i="9"/>
  <c r="D157" i="9"/>
  <c r="C157" i="9"/>
  <c r="B157" i="9"/>
  <c r="D156" i="9"/>
  <c r="C156" i="9"/>
  <c r="B156" i="9"/>
  <c r="D155" i="9"/>
  <c r="C155" i="9"/>
  <c r="B155" i="9"/>
  <c r="D154" i="9"/>
  <c r="C154" i="9"/>
  <c r="B154" i="9"/>
  <c r="D153" i="9"/>
  <c r="C153" i="9"/>
  <c r="B153" i="9"/>
  <c r="D152" i="9"/>
  <c r="C152" i="9"/>
  <c r="B152" i="9"/>
  <c r="D151" i="9"/>
  <c r="C151" i="9"/>
  <c r="B151" i="9"/>
  <c r="D150" i="9"/>
  <c r="C150" i="9"/>
  <c r="B150" i="9"/>
  <c r="D149" i="9"/>
  <c r="C149" i="9"/>
  <c r="B149" i="9"/>
  <c r="D148" i="9"/>
  <c r="C148" i="9"/>
  <c r="B148" i="9"/>
  <c r="D147" i="9"/>
  <c r="C147" i="9"/>
  <c r="B147" i="9"/>
  <c r="D146" i="9"/>
  <c r="C146" i="9"/>
  <c r="B146" i="9"/>
  <c r="D145" i="9"/>
  <c r="C145" i="9"/>
  <c r="B145" i="9"/>
  <c r="D144" i="9"/>
  <c r="C144" i="9"/>
  <c r="B144" i="9"/>
  <c r="D143" i="9"/>
  <c r="C143" i="9"/>
  <c r="B143" i="9"/>
  <c r="D142" i="9"/>
  <c r="C142" i="9"/>
  <c r="B142" i="9"/>
  <c r="D141" i="9"/>
  <c r="C141" i="9"/>
  <c r="B141" i="9"/>
  <c r="D140" i="9"/>
  <c r="C140" i="9"/>
  <c r="B140" i="9"/>
  <c r="D139" i="9"/>
  <c r="C139" i="9"/>
  <c r="B139" i="9"/>
  <c r="D138" i="9"/>
  <c r="C138" i="9"/>
  <c r="B138" i="9"/>
  <c r="D137" i="9"/>
  <c r="C137" i="9"/>
  <c r="B137" i="9"/>
  <c r="D136" i="9"/>
  <c r="C136" i="9"/>
  <c r="B136" i="9"/>
  <c r="D135" i="9"/>
  <c r="C135" i="9"/>
  <c r="B135" i="9"/>
  <c r="D134" i="9"/>
  <c r="C134" i="9"/>
  <c r="B134" i="9"/>
  <c r="D133" i="9"/>
  <c r="C133" i="9"/>
  <c r="B133" i="9"/>
  <c r="D132" i="9"/>
  <c r="C132" i="9"/>
  <c r="B132" i="9"/>
  <c r="D131" i="9"/>
  <c r="C131" i="9"/>
  <c r="B131" i="9"/>
  <c r="D130" i="9"/>
  <c r="C130" i="9"/>
  <c r="B130" i="9"/>
  <c r="D129" i="9"/>
  <c r="C129" i="9"/>
  <c r="B129" i="9"/>
  <c r="D128" i="9"/>
  <c r="C128" i="9"/>
  <c r="B128" i="9"/>
  <c r="D127" i="9"/>
  <c r="C127" i="9"/>
  <c r="B127" i="9"/>
  <c r="D126" i="9"/>
  <c r="C126" i="9"/>
  <c r="B126" i="9"/>
  <c r="D125" i="9"/>
  <c r="C125" i="9"/>
  <c r="B125" i="9"/>
  <c r="D124" i="9"/>
  <c r="C124" i="9"/>
  <c r="B124" i="9"/>
  <c r="D123" i="9"/>
  <c r="C123" i="9"/>
  <c r="B123" i="9"/>
  <c r="D122" i="9"/>
  <c r="C122" i="9"/>
  <c r="B122" i="9"/>
  <c r="D121" i="9"/>
  <c r="C121" i="9"/>
  <c r="B121" i="9"/>
  <c r="D120" i="9"/>
  <c r="C120" i="9"/>
  <c r="B120" i="9"/>
  <c r="D119" i="9"/>
  <c r="C119" i="9"/>
  <c r="B119" i="9"/>
  <c r="D118" i="9"/>
  <c r="C118" i="9"/>
  <c r="B118" i="9"/>
  <c r="D117" i="9"/>
  <c r="C117" i="9"/>
  <c r="B117" i="9"/>
  <c r="D116" i="9"/>
  <c r="C116" i="9"/>
  <c r="B116" i="9"/>
  <c r="D115" i="9"/>
  <c r="C115" i="9"/>
  <c r="B115" i="9"/>
  <c r="D114" i="9"/>
  <c r="C114" i="9"/>
  <c r="B114" i="9"/>
  <c r="D113" i="9"/>
  <c r="C113" i="9"/>
  <c r="B113" i="9"/>
  <c r="D112" i="9"/>
  <c r="C112" i="9"/>
  <c r="B112" i="9"/>
  <c r="D111" i="9"/>
  <c r="C111" i="9"/>
  <c r="B111" i="9"/>
  <c r="D110" i="9"/>
  <c r="C110" i="9"/>
  <c r="B110" i="9"/>
  <c r="D109" i="9"/>
  <c r="C109" i="9"/>
  <c r="B109" i="9"/>
  <c r="D108" i="9"/>
  <c r="C108" i="9"/>
  <c r="B108" i="9"/>
  <c r="D107" i="9"/>
  <c r="C107" i="9"/>
  <c r="B107" i="9"/>
  <c r="D106" i="9"/>
  <c r="C106" i="9"/>
  <c r="B106" i="9"/>
  <c r="D105" i="9"/>
  <c r="C105" i="9"/>
  <c r="B105" i="9"/>
  <c r="D104" i="9"/>
  <c r="C104" i="9"/>
  <c r="B104" i="9"/>
  <c r="D103" i="9"/>
  <c r="C103" i="9"/>
  <c r="B103" i="9"/>
  <c r="D102" i="9"/>
  <c r="C102" i="9"/>
  <c r="B102" i="9"/>
  <c r="D101" i="9"/>
  <c r="C101" i="9"/>
  <c r="B101" i="9"/>
  <c r="D100" i="9"/>
  <c r="C100" i="9"/>
  <c r="B100" i="9"/>
  <c r="D99" i="9"/>
  <c r="C99" i="9"/>
  <c r="B99" i="9"/>
  <c r="D98" i="9"/>
  <c r="C98" i="9"/>
  <c r="B98" i="9"/>
  <c r="D97" i="9"/>
  <c r="C97" i="9"/>
  <c r="B97" i="9"/>
  <c r="D96" i="9"/>
  <c r="C96" i="9"/>
  <c r="B96" i="9"/>
  <c r="D95" i="9"/>
  <c r="C95" i="9"/>
  <c r="B95" i="9"/>
  <c r="D94" i="9"/>
  <c r="C94" i="9"/>
  <c r="B94" i="9"/>
  <c r="D93" i="9"/>
  <c r="C93" i="9"/>
  <c r="B93" i="9"/>
  <c r="D92" i="9"/>
  <c r="C92" i="9"/>
  <c r="B92" i="9"/>
  <c r="D91" i="9"/>
  <c r="C91" i="9"/>
  <c r="B91" i="9"/>
  <c r="D90" i="9"/>
  <c r="C90" i="9"/>
  <c r="B90" i="9"/>
  <c r="D89" i="9"/>
  <c r="C89" i="9"/>
  <c r="B89" i="9"/>
  <c r="D88" i="9"/>
  <c r="C88" i="9"/>
  <c r="B88" i="9"/>
  <c r="D87" i="9"/>
  <c r="C87" i="9"/>
  <c r="B87" i="9"/>
  <c r="D86" i="9"/>
  <c r="C86" i="9"/>
  <c r="B86" i="9"/>
  <c r="D85" i="9"/>
  <c r="C85" i="9"/>
  <c r="B85" i="9"/>
  <c r="D84" i="9"/>
  <c r="C84" i="9"/>
  <c r="B84" i="9"/>
  <c r="D83" i="9"/>
  <c r="C83" i="9"/>
  <c r="B83" i="9"/>
  <c r="D82" i="9"/>
  <c r="C82" i="9"/>
  <c r="B82" i="9"/>
  <c r="D81" i="9"/>
  <c r="C81" i="9"/>
  <c r="B81" i="9"/>
  <c r="D80" i="9"/>
  <c r="C80" i="9"/>
  <c r="B80" i="9"/>
  <c r="D79" i="9"/>
  <c r="C79" i="9"/>
  <c r="B79" i="9"/>
  <c r="D78" i="9"/>
  <c r="C78" i="9"/>
  <c r="B78" i="9"/>
  <c r="D77" i="9"/>
  <c r="C77" i="9"/>
  <c r="B77" i="9"/>
  <c r="D76" i="9"/>
  <c r="C76" i="9"/>
  <c r="B76" i="9"/>
  <c r="D75" i="9"/>
  <c r="C75" i="9"/>
  <c r="B75" i="9"/>
  <c r="D74" i="9"/>
  <c r="C74" i="9"/>
  <c r="B74" i="9"/>
  <c r="D73" i="9"/>
  <c r="C73" i="9"/>
  <c r="B73" i="9"/>
  <c r="D72" i="9"/>
  <c r="C72" i="9"/>
  <c r="B72" i="9"/>
  <c r="D71" i="9"/>
  <c r="C71" i="9"/>
  <c r="B71" i="9"/>
  <c r="D70" i="9"/>
  <c r="C70" i="9"/>
  <c r="B70" i="9"/>
  <c r="D69" i="9"/>
  <c r="C69" i="9"/>
  <c r="B69" i="9"/>
  <c r="D68" i="9"/>
  <c r="C68" i="9"/>
  <c r="B68" i="9"/>
  <c r="D67" i="9"/>
  <c r="C67" i="9"/>
  <c r="B67" i="9"/>
  <c r="D66" i="9"/>
  <c r="C66" i="9"/>
  <c r="B66" i="9"/>
  <c r="D65" i="9"/>
  <c r="C65" i="9"/>
  <c r="B65" i="9"/>
  <c r="D64" i="9"/>
  <c r="C64" i="9"/>
  <c r="B64" i="9"/>
  <c r="D63" i="9"/>
  <c r="C63" i="9"/>
  <c r="B63" i="9"/>
  <c r="D62" i="9"/>
  <c r="C62" i="9"/>
  <c r="B62" i="9"/>
  <c r="D61" i="9"/>
  <c r="C61" i="9"/>
  <c r="B61" i="9"/>
  <c r="D60" i="9"/>
  <c r="C60" i="9"/>
  <c r="B60" i="9"/>
  <c r="D59" i="9"/>
  <c r="C59" i="9"/>
  <c r="B59" i="9"/>
  <c r="D58" i="9"/>
  <c r="C58" i="9"/>
  <c r="B58" i="9"/>
  <c r="D57" i="9"/>
  <c r="C57" i="9"/>
  <c r="B57" i="9"/>
  <c r="D56" i="9"/>
  <c r="C56" i="9"/>
  <c r="B56" i="9"/>
  <c r="D55" i="9"/>
  <c r="C55" i="9"/>
  <c r="B55" i="9"/>
  <c r="D54" i="9"/>
  <c r="C54" i="9"/>
  <c r="B54" i="9"/>
  <c r="D53" i="9"/>
  <c r="C53" i="9"/>
  <c r="B53" i="9"/>
  <c r="D52" i="9"/>
  <c r="C52" i="9"/>
  <c r="B52" i="9"/>
  <c r="D51" i="9"/>
  <c r="C51" i="9"/>
  <c r="B51" i="9"/>
  <c r="D50" i="9"/>
  <c r="C50" i="9"/>
  <c r="B50" i="9"/>
  <c r="D49" i="9"/>
  <c r="C49" i="9"/>
  <c r="B49" i="9"/>
  <c r="D48" i="9"/>
  <c r="C48" i="9"/>
  <c r="B48" i="9"/>
  <c r="D47" i="9"/>
  <c r="C47" i="9"/>
  <c r="B47" i="9"/>
  <c r="D46" i="9"/>
  <c r="C46" i="9"/>
  <c r="B46" i="9"/>
  <c r="D45" i="9"/>
  <c r="C45" i="9"/>
  <c r="B45" i="9"/>
  <c r="D44" i="9"/>
  <c r="C44" i="9"/>
  <c r="B44" i="9"/>
  <c r="D43" i="9"/>
  <c r="C43" i="9"/>
  <c r="B43" i="9"/>
  <c r="D42" i="9"/>
  <c r="C42" i="9"/>
  <c r="B42" i="9"/>
  <c r="D41" i="9"/>
  <c r="C41" i="9"/>
  <c r="B41" i="9"/>
  <c r="D40" i="9"/>
  <c r="C40" i="9"/>
  <c r="B40" i="9"/>
  <c r="D39" i="9"/>
  <c r="C39" i="9"/>
  <c r="B39" i="9"/>
  <c r="D38" i="9"/>
  <c r="C38" i="9"/>
  <c r="B38" i="9"/>
  <c r="D37" i="9"/>
  <c r="C37" i="9"/>
  <c r="B37" i="9"/>
  <c r="D36" i="9"/>
  <c r="C36" i="9"/>
  <c r="B36" i="9"/>
  <c r="D35" i="9"/>
  <c r="C35" i="9"/>
  <c r="B35" i="9"/>
  <c r="D34" i="9"/>
  <c r="C34" i="9"/>
  <c r="B34" i="9"/>
  <c r="D33" i="9"/>
  <c r="C33" i="9"/>
  <c r="B33" i="9"/>
  <c r="D32" i="9"/>
  <c r="C32" i="9"/>
  <c r="B32" i="9"/>
  <c r="D31" i="9"/>
  <c r="C31" i="9"/>
  <c r="B31" i="9"/>
  <c r="D30" i="9"/>
  <c r="C30" i="9"/>
  <c r="B30" i="9"/>
  <c r="D29" i="9"/>
  <c r="C29" i="9"/>
  <c r="B29" i="9"/>
  <c r="D28" i="9"/>
  <c r="C28" i="9"/>
  <c r="B28" i="9"/>
  <c r="D27" i="9"/>
  <c r="C27" i="9"/>
  <c r="B27" i="9"/>
  <c r="D26" i="9"/>
  <c r="C26" i="9"/>
  <c r="B26" i="9"/>
  <c r="D25" i="9"/>
  <c r="C25" i="9"/>
  <c r="B25" i="9"/>
  <c r="D24" i="9"/>
  <c r="C24" i="9"/>
  <c r="B24" i="9"/>
  <c r="D23" i="9"/>
  <c r="C23" i="9"/>
  <c r="B23" i="9"/>
  <c r="D22" i="9"/>
  <c r="C22" i="9"/>
  <c r="B22" i="9"/>
  <c r="D21" i="9"/>
  <c r="C21" i="9"/>
  <c r="B21" i="9"/>
  <c r="D20" i="9"/>
  <c r="C20" i="9"/>
  <c r="B20" i="9"/>
  <c r="D19" i="9"/>
  <c r="C19" i="9"/>
  <c r="B19" i="9"/>
  <c r="D18" i="9"/>
  <c r="C18" i="9"/>
  <c r="B18" i="9"/>
  <c r="D17" i="9"/>
  <c r="C17" i="9"/>
  <c r="B17" i="9"/>
  <c r="D16" i="9"/>
  <c r="C16" i="9"/>
  <c r="B16" i="9"/>
  <c r="D15" i="9"/>
  <c r="C15" i="9"/>
  <c r="B15" i="9"/>
  <c r="D14" i="9"/>
  <c r="C14" i="9"/>
  <c r="B14" i="9"/>
  <c r="D13" i="9"/>
  <c r="C13" i="9"/>
  <c r="B13" i="9"/>
  <c r="D12" i="9"/>
  <c r="C12" i="9"/>
  <c r="B12" i="9"/>
  <c r="D11" i="9"/>
  <c r="C11" i="9"/>
  <c r="B11" i="9"/>
  <c r="D10" i="9"/>
  <c r="C10" i="9"/>
  <c r="B10" i="9"/>
  <c r="D9" i="9"/>
  <c r="C9" i="9"/>
  <c r="B9" i="9"/>
  <c r="D8" i="9"/>
  <c r="C8" i="9"/>
  <c r="B8" i="9"/>
  <c r="D7" i="9"/>
  <c r="C7" i="9"/>
  <c r="B7" i="9"/>
  <c r="D6" i="9"/>
  <c r="C6" i="9"/>
  <c r="B6" i="9"/>
  <c r="D5" i="9"/>
  <c r="C5" i="9"/>
  <c r="B5" i="9"/>
  <c r="K4" i="9"/>
  <c r="D4" i="9"/>
  <c r="C4" i="9"/>
  <c r="B4" i="9"/>
  <c r="D3" i="9"/>
  <c r="C3" i="9"/>
  <c r="B3" i="9"/>
  <c r="B11" i="8"/>
  <c r="K11" i="8"/>
  <c r="K13" i="8"/>
  <c r="K23" i="8"/>
  <c r="K31" i="8"/>
  <c r="K33" i="8"/>
  <c r="K43" i="8"/>
  <c r="K51" i="8"/>
  <c r="K53" i="8"/>
  <c r="K63" i="8"/>
  <c r="K71" i="8"/>
  <c r="K73" i="8"/>
  <c r="K83" i="8"/>
  <c r="K91" i="8"/>
  <c r="K93" i="8"/>
  <c r="K103" i="8"/>
  <c r="K111" i="8"/>
  <c r="K113" i="8"/>
  <c r="K123" i="8"/>
  <c r="K131" i="8"/>
  <c r="K133" i="8"/>
  <c r="K143" i="8"/>
  <c r="K151" i="8"/>
  <c r="K153" i="8"/>
  <c r="K163" i="8"/>
  <c r="K171" i="8"/>
  <c r="K173" i="8"/>
  <c r="K183" i="8"/>
  <c r="K191" i="8"/>
  <c r="K193" i="8"/>
  <c r="K203" i="8"/>
  <c r="K211" i="8"/>
  <c r="K213" i="8"/>
  <c r="K223" i="8"/>
  <c r="K231" i="8"/>
  <c r="K233" i="8"/>
  <c r="K243" i="8"/>
  <c r="K251" i="8"/>
  <c r="K253" i="8"/>
  <c r="K263" i="8"/>
  <c r="K271" i="8"/>
  <c r="K273" i="8"/>
  <c r="K283" i="8"/>
  <c r="K291" i="8"/>
  <c r="K293" i="8"/>
  <c r="K303" i="8"/>
  <c r="K311" i="8"/>
  <c r="K313" i="8"/>
  <c r="K323" i="8"/>
  <c r="K331" i="8"/>
  <c r="K333" i="8"/>
  <c r="K343" i="8"/>
  <c r="K351" i="8"/>
  <c r="K353" i="8"/>
  <c r="K363" i="8"/>
  <c r="J4" i="8"/>
  <c r="K4" i="8" s="1"/>
  <c r="J5" i="8"/>
  <c r="K5" i="8" s="1"/>
  <c r="J6" i="8"/>
  <c r="K6" i="8" s="1"/>
  <c r="J7" i="8"/>
  <c r="K7" i="8" s="1"/>
  <c r="J8" i="8"/>
  <c r="K8" i="8" s="1"/>
  <c r="J9" i="8"/>
  <c r="K9" i="8" s="1"/>
  <c r="J10" i="8"/>
  <c r="K10" i="8" s="1"/>
  <c r="J11" i="8"/>
  <c r="J12" i="8"/>
  <c r="K12" i="8" s="1"/>
  <c r="J13" i="8"/>
  <c r="J14" i="8"/>
  <c r="K14" i="8" s="1"/>
  <c r="J15" i="8"/>
  <c r="K15" i="8" s="1"/>
  <c r="J16" i="8"/>
  <c r="K16" i="8" s="1"/>
  <c r="J17" i="8"/>
  <c r="K17" i="8" s="1"/>
  <c r="J18" i="8"/>
  <c r="K18" i="8" s="1"/>
  <c r="J19" i="8"/>
  <c r="K19" i="8" s="1"/>
  <c r="J20" i="8"/>
  <c r="K20" i="8" s="1"/>
  <c r="J21" i="8"/>
  <c r="K21" i="8" s="1"/>
  <c r="J22" i="8"/>
  <c r="K22" i="8" s="1"/>
  <c r="J23" i="8"/>
  <c r="J24" i="8"/>
  <c r="K24" i="8" s="1"/>
  <c r="J25" i="8"/>
  <c r="K25" i="8" s="1"/>
  <c r="J26" i="8"/>
  <c r="K26" i="8" s="1"/>
  <c r="J27" i="8"/>
  <c r="K27" i="8" s="1"/>
  <c r="J28" i="8"/>
  <c r="K28" i="8" s="1"/>
  <c r="J29" i="8"/>
  <c r="K29" i="8" s="1"/>
  <c r="J30" i="8"/>
  <c r="K30" i="8" s="1"/>
  <c r="J31" i="8"/>
  <c r="J32" i="8"/>
  <c r="K32" i="8" s="1"/>
  <c r="J33" i="8"/>
  <c r="J34" i="8"/>
  <c r="K34" i="8" s="1"/>
  <c r="J35" i="8"/>
  <c r="K35" i="8" s="1"/>
  <c r="J36" i="8"/>
  <c r="K36" i="8" s="1"/>
  <c r="J37" i="8"/>
  <c r="K37" i="8" s="1"/>
  <c r="J38" i="8"/>
  <c r="K38" i="8" s="1"/>
  <c r="J39" i="8"/>
  <c r="K39" i="8" s="1"/>
  <c r="J40" i="8"/>
  <c r="K40" i="8" s="1"/>
  <c r="J41" i="8"/>
  <c r="K41" i="8" s="1"/>
  <c r="J42" i="8"/>
  <c r="K42" i="8" s="1"/>
  <c r="J43" i="8"/>
  <c r="J44" i="8"/>
  <c r="K44" i="8" s="1"/>
  <c r="J45" i="8"/>
  <c r="K45" i="8" s="1"/>
  <c r="J46" i="8"/>
  <c r="K46" i="8" s="1"/>
  <c r="J47" i="8"/>
  <c r="K47" i="8" s="1"/>
  <c r="J48" i="8"/>
  <c r="K48" i="8" s="1"/>
  <c r="J49" i="8"/>
  <c r="K49" i="8" s="1"/>
  <c r="J50" i="8"/>
  <c r="K50" i="8" s="1"/>
  <c r="J51" i="8"/>
  <c r="J52" i="8"/>
  <c r="K52" i="8" s="1"/>
  <c r="J53" i="8"/>
  <c r="J54" i="8"/>
  <c r="K54" i="8" s="1"/>
  <c r="J55" i="8"/>
  <c r="K55" i="8" s="1"/>
  <c r="J56" i="8"/>
  <c r="K56" i="8" s="1"/>
  <c r="J57" i="8"/>
  <c r="K57" i="8" s="1"/>
  <c r="J58" i="8"/>
  <c r="K58" i="8" s="1"/>
  <c r="J59" i="8"/>
  <c r="K59" i="8" s="1"/>
  <c r="J60" i="8"/>
  <c r="K60" i="8" s="1"/>
  <c r="J61" i="8"/>
  <c r="K61" i="8" s="1"/>
  <c r="J62" i="8"/>
  <c r="K62" i="8" s="1"/>
  <c r="J63" i="8"/>
  <c r="J64" i="8"/>
  <c r="K64" i="8" s="1"/>
  <c r="J65" i="8"/>
  <c r="K65" i="8" s="1"/>
  <c r="J66" i="8"/>
  <c r="K66" i="8" s="1"/>
  <c r="J67" i="8"/>
  <c r="K67" i="8" s="1"/>
  <c r="J68" i="8"/>
  <c r="K68" i="8" s="1"/>
  <c r="J69" i="8"/>
  <c r="K69" i="8" s="1"/>
  <c r="J70" i="8"/>
  <c r="K70" i="8" s="1"/>
  <c r="J71" i="8"/>
  <c r="J72" i="8"/>
  <c r="K72" i="8" s="1"/>
  <c r="J73" i="8"/>
  <c r="J74" i="8"/>
  <c r="K74" i="8" s="1"/>
  <c r="J75" i="8"/>
  <c r="K75" i="8" s="1"/>
  <c r="J76" i="8"/>
  <c r="K76" i="8" s="1"/>
  <c r="J77" i="8"/>
  <c r="K77" i="8" s="1"/>
  <c r="J78" i="8"/>
  <c r="K78" i="8" s="1"/>
  <c r="J79" i="8"/>
  <c r="K79" i="8" s="1"/>
  <c r="J80" i="8"/>
  <c r="K80" i="8" s="1"/>
  <c r="J81" i="8"/>
  <c r="K81" i="8" s="1"/>
  <c r="J82" i="8"/>
  <c r="K82" i="8" s="1"/>
  <c r="J83" i="8"/>
  <c r="J84" i="8"/>
  <c r="K84" i="8" s="1"/>
  <c r="J85" i="8"/>
  <c r="K85" i="8" s="1"/>
  <c r="J86" i="8"/>
  <c r="K86" i="8" s="1"/>
  <c r="J87" i="8"/>
  <c r="K87" i="8" s="1"/>
  <c r="J88" i="8"/>
  <c r="K88" i="8" s="1"/>
  <c r="J89" i="8"/>
  <c r="K89" i="8" s="1"/>
  <c r="J90" i="8"/>
  <c r="K90" i="8" s="1"/>
  <c r="J91" i="8"/>
  <c r="J92" i="8"/>
  <c r="K92" i="8" s="1"/>
  <c r="J93" i="8"/>
  <c r="J94" i="8"/>
  <c r="K94" i="8" s="1"/>
  <c r="J95" i="8"/>
  <c r="K95" i="8" s="1"/>
  <c r="J96" i="8"/>
  <c r="K96" i="8" s="1"/>
  <c r="J97" i="8"/>
  <c r="K97" i="8" s="1"/>
  <c r="J98" i="8"/>
  <c r="K98" i="8" s="1"/>
  <c r="J99" i="8"/>
  <c r="K99" i="8" s="1"/>
  <c r="J100" i="8"/>
  <c r="K100" i="8" s="1"/>
  <c r="J101" i="8"/>
  <c r="K101" i="8" s="1"/>
  <c r="J102" i="8"/>
  <c r="K102" i="8" s="1"/>
  <c r="J103" i="8"/>
  <c r="J104" i="8"/>
  <c r="K104" i="8" s="1"/>
  <c r="J105" i="8"/>
  <c r="K105" i="8" s="1"/>
  <c r="J106" i="8"/>
  <c r="K106" i="8" s="1"/>
  <c r="J107" i="8"/>
  <c r="K107" i="8" s="1"/>
  <c r="J108" i="8"/>
  <c r="K108" i="8" s="1"/>
  <c r="J109" i="8"/>
  <c r="K109" i="8" s="1"/>
  <c r="J110" i="8"/>
  <c r="K110" i="8" s="1"/>
  <c r="J111" i="8"/>
  <c r="J112" i="8"/>
  <c r="K112" i="8" s="1"/>
  <c r="J113" i="8"/>
  <c r="J114" i="8"/>
  <c r="K114" i="8" s="1"/>
  <c r="J115" i="8"/>
  <c r="K115" i="8" s="1"/>
  <c r="J116" i="8"/>
  <c r="K116" i="8" s="1"/>
  <c r="J117" i="8"/>
  <c r="K117" i="8" s="1"/>
  <c r="J118" i="8"/>
  <c r="K118" i="8" s="1"/>
  <c r="J119" i="8"/>
  <c r="K119" i="8" s="1"/>
  <c r="J120" i="8"/>
  <c r="K120" i="8" s="1"/>
  <c r="J121" i="8"/>
  <c r="K121" i="8" s="1"/>
  <c r="J122" i="8"/>
  <c r="K122" i="8" s="1"/>
  <c r="J123" i="8"/>
  <c r="J124" i="8"/>
  <c r="K124" i="8" s="1"/>
  <c r="J125" i="8"/>
  <c r="K125" i="8" s="1"/>
  <c r="J126" i="8"/>
  <c r="K126" i="8" s="1"/>
  <c r="J127" i="8"/>
  <c r="K127" i="8" s="1"/>
  <c r="J128" i="8"/>
  <c r="K128" i="8" s="1"/>
  <c r="J129" i="8"/>
  <c r="K129" i="8" s="1"/>
  <c r="J130" i="8"/>
  <c r="K130" i="8" s="1"/>
  <c r="J131" i="8"/>
  <c r="J132" i="8"/>
  <c r="K132" i="8" s="1"/>
  <c r="J133" i="8"/>
  <c r="J134" i="8"/>
  <c r="K134" i="8" s="1"/>
  <c r="J135" i="8"/>
  <c r="K135" i="8" s="1"/>
  <c r="J136" i="8"/>
  <c r="K136" i="8" s="1"/>
  <c r="J137" i="8"/>
  <c r="K137" i="8" s="1"/>
  <c r="J138" i="8"/>
  <c r="K138" i="8" s="1"/>
  <c r="J139" i="8"/>
  <c r="K139" i="8" s="1"/>
  <c r="J140" i="8"/>
  <c r="K140" i="8" s="1"/>
  <c r="J141" i="8"/>
  <c r="K141" i="8" s="1"/>
  <c r="J142" i="8"/>
  <c r="K142" i="8" s="1"/>
  <c r="J143" i="8"/>
  <c r="J144" i="8"/>
  <c r="K144" i="8" s="1"/>
  <c r="J145" i="8"/>
  <c r="K145" i="8" s="1"/>
  <c r="J146" i="8"/>
  <c r="K146" i="8" s="1"/>
  <c r="J147" i="8"/>
  <c r="K147" i="8" s="1"/>
  <c r="J148" i="8"/>
  <c r="K148" i="8" s="1"/>
  <c r="J149" i="8"/>
  <c r="K149" i="8" s="1"/>
  <c r="J150" i="8"/>
  <c r="K150" i="8" s="1"/>
  <c r="J151" i="8"/>
  <c r="J152" i="8"/>
  <c r="K152" i="8" s="1"/>
  <c r="J153" i="8"/>
  <c r="J154" i="8"/>
  <c r="K154" i="8" s="1"/>
  <c r="J155" i="8"/>
  <c r="K155" i="8" s="1"/>
  <c r="J156" i="8"/>
  <c r="K156" i="8" s="1"/>
  <c r="J157" i="8"/>
  <c r="K157" i="8" s="1"/>
  <c r="J158" i="8"/>
  <c r="K158" i="8" s="1"/>
  <c r="J159" i="8"/>
  <c r="K159" i="8" s="1"/>
  <c r="J160" i="8"/>
  <c r="K160" i="8" s="1"/>
  <c r="J161" i="8"/>
  <c r="K161" i="8" s="1"/>
  <c r="J162" i="8"/>
  <c r="K162" i="8" s="1"/>
  <c r="J163" i="8"/>
  <c r="J164" i="8"/>
  <c r="K164" i="8" s="1"/>
  <c r="J165" i="8"/>
  <c r="K165" i="8" s="1"/>
  <c r="J166" i="8"/>
  <c r="K166" i="8" s="1"/>
  <c r="J167" i="8"/>
  <c r="K167" i="8" s="1"/>
  <c r="J168" i="8"/>
  <c r="K168" i="8" s="1"/>
  <c r="J169" i="8"/>
  <c r="K169" i="8" s="1"/>
  <c r="J170" i="8"/>
  <c r="K170" i="8" s="1"/>
  <c r="J171" i="8"/>
  <c r="J172" i="8"/>
  <c r="K172" i="8" s="1"/>
  <c r="J173" i="8"/>
  <c r="J174" i="8"/>
  <c r="K174" i="8" s="1"/>
  <c r="J175" i="8"/>
  <c r="K175" i="8" s="1"/>
  <c r="J176" i="8"/>
  <c r="K176" i="8" s="1"/>
  <c r="J177" i="8"/>
  <c r="K177" i="8" s="1"/>
  <c r="J178" i="8"/>
  <c r="K178" i="8" s="1"/>
  <c r="J179" i="8"/>
  <c r="K179" i="8" s="1"/>
  <c r="J180" i="8"/>
  <c r="K180" i="8" s="1"/>
  <c r="J181" i="8"/>
  <c r="K181" i="8" s="1"/>
  <c r="J182" i="8"/>
  <c r="K182" i="8" s="1"/>
  <c r="J183" i="8"/>
  <c r="J184" i="8"/>
  <c r="K184" i="8" s="1"/>
  <c r="J185" i="8"/>
  <c r="K185" i="8" s="1"/>
  <c r="J186" i="8"/>
  <c r="K186" i="8" s="1"/>
  <c r="J187" i="8"/>
  <c r="K187" i="8" s="1"/>
  <c r="J188" i="8"/>
  <c r="K188" i="8" s="1"/>
  <c r="J189" i="8"/>
  <c r="K189" i="8" s="1"/>
  <c r="J190" i="8"/>
  <c r="K190" i="8" s="1"/>
  <c r="J191" i="8"/>
  <c r="J192" i="8"/>
  <c r="K192" i="8" s="1"/>
  <c r="J193" i="8"/>
  <c r="J194" i="8"/>
  <c r="K194" i="8" s="1"/>
  <c r="J195" i="8"/>
  <c r="K195" i="8" s="1"/>
  <c r="J196" i="8"/>
  <c r="K196" i="8" s="1"/>
  <c r="J197" i="8"/>
  <c r="K197" i="8" s="1"/>
  <c r="J198" i="8"/>
  <c r="K198" i="8" s="1"/>
  <c r="J199" i="8"/>
  <c r="K199" i="8" s="1"/>
  <c r="J200" i="8"/>
  <c r="K200" i="8" s="1"/>
  <c r="J201" i="8"/>
  <c r="K201" i="8" s="1"/>
  <c r="J202" i="8"/>
  <c r="K202" i="8" s="1"/>
  <c r="J203" i="8"/>
  <c r="J204" i="8"/>
  <c r="K204" i="8" s="1"/>
  <c r="J205" i="8"/>
  <c r="K205" i="8" s="1"/>
  <c r="J206" i="8"/>
  <c r="K206" i="8" s="1"/>
  <c r="J207" i="8"/>
  <c r="K207" i="8" s="1"/>
  <c r="J208" i="8"/>
  <c r="K208" i="8" s="1"/>
  <c r="J209" i="8"/>
  <c r="K209" i="8" s="1"/>
  <c r="J210" i="8"/>
  <c r="K210" i="8" s="1"/>
  <c r="J211" i="8"/>
  <c r="J212" i="8"/>
  <c r="K212" i="8" s="1"/>
  <c r="J213" i="8"/>
  <c r="J214" i="8"/>
  <c r="K214" i="8" s="1"/>
  <c r="J215" i="8"/>
  <c r="K215" i="8" s="1"/>
  <c r="J216" i="8"/>
  <c r="K216" i="8" s="1"/>
  <c r="J217" i="8"/>
  <c r="K217" i="8" s="1"/>
  <c r="J218" i="8"/>
  <c r="K218" i="8" s="1"/>
  <c r="J219" i="8"/>
  <c r="K219" i="8" s="1"/>
  <c r="J220" i="8"/>
  <c r="K220" i="8" s="1"/>
  <c r="J221" i="8"/>
  <c r="K221" i="8" s="1"/>
  <c r="J222" i="8"/>
  <c r="K222" i="8" s="1"/>
  <c r="J223" i="8"/>
  <c r="J224" i="8"/>
  <c r="K224" i="8" s="1"/>
  <c r="J225" i="8"/>
  <c r="K225" i="8" s="1"/>
  <c r="J226" i="8"/>
  <c r="K226" i="8" s="1"/>
  <c r="J227" i="8"/>
  <c r="K227" i="8" s="1"/>
  <c r="J228" i="8"/>
  <c r="K228" i="8" s="1"/>
  <c r="J229" i="8"/>
  <c r="K229" i="8" s="1"/>
  <c r="J230" i="8"/>
  <c r="K230" i="8" s="1"/>
  <c r="J231" i="8"/>
  <c r="J232" i="8"/>
  <c r="K232" i="8" s="1"/>
  <c r="J233" i="8"/>
  <c r="J234" i="8"/>
  <c r="K234" i="8" s="1"/>
  <c r="J235" i="8"/>
  <c r="K235" i="8" s="1"/>
  <c r="J236" i="8"/>
  <c r="K236" i="8" s="1"/>
  <c r="J237" i="8"/>
  <c r="K237" i="8" s="1"/>
  <c r="J238" i="8"/>
  <c r="K238" i="8" s="1"/>
  <c r="J239" i="8"/>
  <c r="K239" i="8" s="1"/>
  <c r="J240" i="8"/>
  <c r="K240" i="8" s="1"/>
  <c r="J241" i="8"/>
  <c r="K241" i="8" s="1"/>
  <c r="J242" i="8"/>
  <c r="K242" i="8" s="1"/>
  <c r="J243" i="8"/>
  <c r="J244" i="8"/>
  <c r="K244" i="8" s="1"/>
  <c r="J245" i="8"/>
  <c r="K245" i="8" s="1"/>
  <c r="J246" i="8"/>
  <c r="K246" i="8" s="1"/>
  <c r="J247" i="8"/>
  <c r="K247" i="8" s="1"/>
  <c r="J248" i="8"/>
  <c r="K248" i="8" s="1"/>
  <c r="J249" i="8"/>
  <c r="K249" i="8" s="1"/>
  <c r="J250" i="8"/>
  <c r="K250" i="8" s="1"/>
  <c r="J251" i="8"/>
  <c r="J252" i="8"/>
  <c r="K252" i="8" s="1"/>
  <c r="J253" i="8"/>
  <c r="J254" i="8"/>
  <c r="K254" i="8" s="1"/>
  <c r="J255" i="8"/>
  <c r="K255" i="8" s="1"/>
  <c r="J256" i="8"/>
  <c r="K256" i="8" s="1"/>
  <c r="J257" i="8"/>
  <c r="K257" i="8" s="1"/>
  <c r="J258" i="8"/>
  <c r="K258" i="8" s="1"/>
  <c r="J259" i="8"/>
  <c r="K259" i="8" s="1"/>
  <c r="J260" i="8"/>
  <c r="K260" i="8" s="1"/>
  <c r="J261" i="8"/>
  <c r="K261" i="8" s="1"/>
  <c r="J262" i="8"/>
  <c r="K262" i="8" s="1"/>
  <c r="J263" i="8"/>
  <c r="J264" i="8"/>
  <c r="K264" i="8" s="1"/>
  <c r="J265" i="8"/>
  <c r="K265" i="8" s="1"/>
  <c r="J266" i="8"/>
  <c r="K266" i="8" s="1"/>
  <c r="J267" i="8"/>
  <c r="K267" i="8" s="1"/>
  <c r="J268" i="8"/>
  <c r="K268" i="8" s="1"/>
  <c r="J269" i="8"/>
  <c r="K269" i="8" s="1"/>
  <c r="J270" i="8"/>
  <c r="K270" i="8" s="1"/>
  <c r="J271" i="8"/>
  <c r="J272" i="8"/>
  <c r="K272" i="8" s="1"/>
  <c r="J273" i="8"/>
  <c r="J274" i="8"/>
  <c r="K274" i="8" s="1"/>
  <c r="J275" i="8"/>
  <c r="K275" i="8" s="1"/>
  <c r="J276" i="8"/>
  <c r="K276" i="8" s="1"/>
  <c r="J277" i="8"/>
  <c r="K277" i="8" s="1"/>
  <c r="J278" i="8"/>
  <c r="K278" i="8" s="1"/>
  <c r="J279" i="8"/>
  <c r="K279" i="8" s="1"/>
  <c r="J280" i="8"/>
  <c r="K280" i="8" s="1"/>
  <c r="J281" i="8"/>
  <c r="K281" i="8" s="1"/>
  <c r="J282" i="8"/>
  <c r="K282" i="8" s="1"/>
  <c r="J283" i="8"/>
  <c r="J284" i="8"/>
  <c r="K284" i="8" s="1"/>
  <c r="J285" i="8"/>
  <c r="K285" i="8" s="1"/>
  <c r="J286" i="8"/>
  <c r="K286" i="8" s="1"/>
  <c r="J287" i="8"/>
  <c r="K287" i="8" s="1"/>
  <c r="J288" i="8"/>
  <c r="K288" i="8" s="1"/>
  <c r="J289" i="8"/>
  <c r="K289" i="8" s="1"/>
  <c r="J290" i="8"/>
  <c r="K290" i="8" s="1"/>
  <c r="J291" i="8"/>
  <c r="J292" i="8"/>
  <c r="K292" i="8" s="1"/>
  <c r="J293" i="8"/>
  <c r="J294" i="8"/>
  <c r="K294" i="8" s="1"/>
  <c r="J295" i="8"/>
  <c r="K295" i="8" s="1"/>
  <c r="J296" i="8"/>
  <c r="K296" i="8" s="1"/>
  <c r="J297" i="8"/>
  <c r="K297" i="8" s="1"/>
  <c r="J298" i="8"/>
  <c r="K298" i="8" s="1"/>
  <c r="J299" i="8"/>
  <c r="K299" i="8" s="1"/>
  <c r="J300" i="8"/>
  <c r="K300" i="8" s="1"/>
  <c r="J301" i="8"/>
  <c r="K301" i="8" s="1"/>
  <c r="J302" i="8"/>
  <c r="K302" i="8" s="1"/>
  <c r="J303" i="8"/>
  <c r="J304" i="8"/>
  <c r="K304" i="8" s="1"/>
  <c r="J305" i="8"/>
  <c r="K305" i="8" s="1"/>
  <c r="J306" i="8"/>
  <c r="K306" i="8" s="1"/>
  <c r="J307" i="8"/>
  <c r="K307" i="8" s="1"/>
  <c r="J308" i="8"/>
  <c r="K308" i="8" s="1"/>
  <c r="J309" i="8"/>
  <c r="K309" i="8" s="1"/>
  <c r="J310" i="8"/>
  <c r="K310" i="8" s="1"/>
  <c r="J311" i="8"/>
  <c r="J312" i="8"/>
  <c r="K312" i="8" s="1"/>
  <c r="J313" i="8"/>
  <c r="J314" i="8"/>
  <c r="K314" i="8" s="1"/>
  <c r="J315" i="8"/>
  <c r="K315" i="8" s="1"/>
  <c r="J316" i="8"/>
  <c r="K316" i="8" s="1"/>
  <c r="J317" i="8"/>
  <c r="K317" i="8" s="1"/>
  <c r="J318" i="8"/>
  <c r="K318" i="8" s="1"/>
  <c r="J319" i="8"/>
  <c r="K319" i="8" s="1"/>
  <c r="J320" i="8"/>
  <c r="K320" i="8" s="1"/>
  <c r="J321" i="8"/>
  <c r="K321" i="8" s="1"/>
  <c r="J322" i="8"/>
  <c r="K322" i="8" s="1"/>
  <c r="J323" i="8"/>
  <c r="J324" i="8"/>
  <c r="K324" i="8" s="1"/>
  <c r="J325" i="8"/>
  <c r="K325" i="8" s="1"/>
  <c r="J326" i="8"/>
  <c r="K326" i="8" s="1"/>
  <c r="J327" i="8"/>
  <c r="K327" i="8" s="1"/>
  <c r="J328" i="8"/>
  <c r="K328" i="8" s="1"/>
  <c r="J329" i="8"/>
  <c r="K329" i="8" s="1"/>
  <c r="J330" i="8"/>
  <c r="K330" i="8" s="1"/>
  <c r="J331" i="8"/>
  <c r="J332" i="8"/>
  <c r="K332" i="8" s="1"/>
  <c r="J333" i="8"/>
  <c r="J334" i="8"/>
  <c r="K334" i="8" s="1"/>
  <c r="J335" i="8"/>
  <c r="K335" i="8" s="1"/>
  <c r="J336" i="8"/>
  <c r="K336" i="8" s="1"/>
  <c r="J337" i="8"/>
  <c r="K337" i="8" s="1"/>
  <c r="J338" i="8"/>
  <c r="K338" i="8" s="1"/>
  <c r="J339" i="8"/>
  <c r="K339" i="8" s="1"/>
  <c r="J340" i="8"/>
  <c r="K340" i="8" s="1"/>
  <c r="J341" i="8"/>
  <c r="K341" i="8" s="1"/>
  <c r="J342" i="8"/>
  <c r="K342" i="8" s="1"/>
  <c r="J343" i="8"/>
  <c r="J344" i="8"/>
  <c r="K344" i="8" s="1"/>
  <c r="J345" i="8"/>
  <c r="K345" i="8" s="1"/>
  <c r="J346" i="8"/>
  <c r="K346" i="8" s="1"/>
  <c r="J347" i="8"/>
  <c r="K347" i="8" s="1"/>
  <c r="J348" i="8"/>
  <c r="K348" i="8" s="1"/>
  <c r="J349" i="8"/>
  <c r="K349" i="8" s="1"/>
  <c r="J350" i="8"/>
  <c r="K350" i="8" s="1"/>
  <c r="J351" i="8"/>
  <c r="J352" i="8"/>
  <c r="K352" i="8" s="1"/>
  <c r="J353" i="8"/>
  <c r="J354" i="8"/>
  <c r="K354" i="8" s="1"/>
  <c r="J355" i="8"/>
  <c r="K355" i="8" s="1"/>
  <c r="J356" i="8"/>
  <c r="K356" i="8" s="1"/>
  <c r="J357" i="8"/>
  <c r="K357" i="8" s="1"/>
  <c r="J358" i="8"/>
  <c r="K358" i="8" s="1"/>
  <c r="J359" i="8"/>
  <c r="K359" i="8" s="1"/>
  <c r="J360" i="8"/>
  <c r="K360" i="8" s="1"/>
  <c r="J361" i="8"/>
  <c r="K361" i="8" s="1"/>
  <c r="J362" i="8"/>
  <c r="K362" i="8" s="1"/>
  <c r="J363" i="8"/>
  <c r="J364" i="8"/>
  <c r="K364" i="8" s="1"/>
  <c r="J365" i="8"/>
  <c r="K365" i="8" s="1"/>
  <c r="J366" i="8"/>
  <c r="K366" i="8" s="1"/>
  <c r="J367" i="8"/>
  <c r="K367" i="8" s="1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" i="8"/>
  <c r="J3" i="8"/>
  <c r="G9" i="8"/>
  <c r="F9" i="8"/>
  <c r="E9" i="8"/>
  <c r="D9" i="8"/>
  <c r="C9" i="8"/>
  <c r="G8" i="8"/>
  <c r="F8" i="8"/>
  <c r="E8" i="8"/>
  <c r="D8" i="8"/>
  <c r="C8" i="8"/>
  <c r="G7" i="8"/>
  <c r="F7" i="8"/>
  <c r="E7" i="8"/>
  <c r="D7" i="8"/>
  <c r="C7" i="8"/>
  <c r="G6" i="8"/>
  <c r="F6" i="8"/>
  <c r="E6" i="8"/>
  <c r="D6" i="8"/>
  <c r="C6" i="8"/>
  <c r="G5" i="8"/>
  <c r="F5" i="8"/>
  <c r="E5" i="8"/>
  <c r="D5" i="8"/>
  <c r="C5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3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K367" i="1"/>
  <c r="I367" i="1"/>
  <c r="G367" i="1"/>
  <c r="E367" i="1"/>
  <c r="B367" i="1"/>
  <c r="C367" i="1" s="1"/>
  <c r="K366" i="1"/>
  <c r="I366" i="1"/>
  <c r="G366" i="1"/>
  <c r="E366" i="1"/>
  <c r="B366" i="1"/>
  <c r="C366" i="1" s="1"/>
  <c r="K365" i="1"/>
  <c r="I365" i="1"/>
  <c r="G365" i="1"/>
  <c r="E365" i="1"/>
  <c r="C365" i="1"/>
  <c r="B365" i="1"/>
  <c r="K364" i="1"/>
  <c r="I364" i="1"/>
  <c r="G364" i="1"/>
  <c r="E364" i="1"/>
  <c r="C364" i="1"/>
  <c r="B364" i="1"/>
  <c r="K363" i="1"/>
  <c r="I363" i="1"/>
  <c r="G363" i="1"/>
  <c r="E363" i="1"/>
  <c r="C363" i="1"/>
  <c r="B363" i="1"/>
  <c r="K362" i="1"/>
  <c r="I362" i="1"/>
  <c r="G362" i="1"/>
  <c r="E362" i="1"/>
  <c r="B362" i="1"/>
  <c r="C362" i="1" s="1"/>
  <c r="K361" i="1"/>
  <c r="I361" i="1"/>
  <c r="G361" i="1"/>
  <c r="E361" i="1"/>
  <c r="B361" i="1"/>
  <c r="C361" i="1" s="1"/>
  <c r="K360" i="1"/>
  <c r="I360" i="1"/>
  <c r="G360" i="1"/>
  <c r="E360" i="1"/>
  <c r="B360" i="1"/>
  <c r="C360" i="1" s="1"/>
  <c r="K359" i="1"/>
  <c r="I359" i="1"/>
  <c r="G359" i="1"/>
  <c r="E359" i="1"/>
  <c r="C359" i="1"/>
  <c r="B359" i="1"/>
  <c r="K358" i="1"/>
  <c r="I358" i="1"/>
  <c r="G358" i="1"/>
  <c r="E358" i="1"/>
  <c r="B358" i="1"/>
  <c r="C358" i="1" s="1"/>
  <c r="K357" i="1"/>
  <c r="I357" i="1"/>
  <c r="G357" i="1"/>
  <c r="E357" i="1"/>
  <c r="B357" i="1"/>
  <c r="C357" i="1" s="1"/>
  <c r="K356" i="1"/>
  <c r="I356" i="1"/>
  <c r="G356" i="1"/>
  <c r="E356" i="1"/>
  <c r="B356" i="1"/>
  <c r="C356" i="1" s="1"/>
  <c r="K355" i="1"/>
  <c r="I355" i="1"/>
  <c r="G355" i="1"/>
  <c r="E355" i="1"/>
  <c r="C355" i="1"/>
  <c r="B355" i="1"/>
  <c r="K354" i="1"/>
  <c r="I354" i="1"/>
  <c r="G354" i="1"/>
  <c r="E354" i="1"/>
  <c r="B354" i="1"/>
  <c r="C354" i="1" s="1"/>
  <c r="K353" i="1"/>
  <c r="I353" i="1"/>
  <c r="G353" i="1"/>
  <c r="E353" i="1"/>
  <c r="C353" i="1"/>
  <c r="B353" i="1"/>
  <c r="K352" i="1"/>
  <c r="I352" i="1"/>
  <c r="G352" i="1"/>
  <c r="E352" i="1"/>
  <c r="B352" i="1"/>
  <c r="C352" i="1" s="1"/>
  <c r="K351" i="1"/>
  <c r="I351" i="1"/>
  <c r="G351" i="1"/>
  <c r="E351" i="1"/>
  <c r="C351" i="1"/>
  <c r="B351" i="1"/>
  <c r="K350" i="1"/>
  <c r="I350" i="1"/>
  <c r="G350" i="1"/>
  <c r="E350" i="1"/>
  <c r="C350" i="1"/>
  <c r="B350" i="1"/>
  <c r="K349" i="1"/>
  <c r="I349" i="1"/>
  <c r="G349" i="1"/>
  <c r="E349" i="1"/>
  <c r="C349" i="1"/>
  <c r="B349" i="1"/>
  <c r="K348" i="1"/>
  <c r="I348" i="1"/>
  <c r="G348" i="1"/>
  <c r="E348" i="1"/>
  <c r="B348" i="1"/>
  <c r="C348" i="1" s="1"/>
  <c r="K347" i="1"/>
  <c r="I347" i="1"/>
  <c r="G347" i="1"/>
  <c r="E347" i="1"/>
  <c r="B347" i="1"/>
  <c r="C347" i="1" s="1"/>
  <c r="K346" i="1"/>
  <c r="I346" i="1"/>
  <c r="G346" i="1"/>
  <c r="E346" i="1"/>
  <c r="B346" i="1"/>
  <c r="C346" i="1" s="1"/>
  <c r="K345" i="1"/>
  <c r="I345" i="1"/>
  <c r="G345" i="1"/>
  <c r="E345" i="1"/>
  <c r="C345" i="1"/>
  <c r="B345" i="1"/>
  <c r="K344" i="1"/>
  <c r="I344" i="1"/>
  <c r="G344" i="1"/>
  <c r="E344" i="1"/>
  <c r="B344" i="1"/>
  <c r="C344" i="1" s="1"/>
  <c r="K343" i="1"/>
  <c r="I343" i="1"/>
  <c r="G343" i="1"/>
  <c r="E343" i="1"/>
  <c r="C343" i="1"/>
  <c r="B343" i="1"/>
  <c r="K342" i="1"/>
  <c r="I342" i="1"/>
  <c r="G342" i="1"/>
  <c r="E342" i="1"/>
  <c r="B342" i="1"/>
  <c r="C342" i="1" s="1"/>
  <c r="K341" i="1"/>
  <c r="I341" i="1"/>
  <c r="G341" i="1"/>
  <c r="E341" i="1"/>
  <c r="C341" i="1"/>
  <c r="B341" i="1"/>
  <c r="K340" i="1"/>
  <c r="I340" i="1"/>
  <c r="G340" i="1"/>
  <c r="E340" i="1"/>
  <c r="C340" i="1"/>
  <c r="B340" i="1"/>
  <c r="K339" i="1"/>
  <c r="I339" i="1"/>
  <c r="G339" i="1"/>
  <c r="E339" i="1"/>
  <c r="C339" i="1"/>
  <c r="B339" i="1"/>
  <c r="K338" i="1"/>
  <c r="I338" i="1"/>
  <c r="G338" i="1"/>
  <c r="E338" i="1"/>
  <c r="B338" i="1"/>
  <c r="C338" i="1" s="1"/>
  <c r="K337" i="1"/>
  <c r="I337" i="1"/>
  <c r="G337" i="1"/>
  <c r="E337" i="1"/>
  <c r="B337" i="1"/>
  <c r="C337" i="1" s="1"/>
  <c r="K336" i="1"/>
  <c r="I336" i="1"/>
  <c r="G336" i="1"/>
  <c r="E336" i="1"/>
  <c r="B336" i="1"/>
  <c r="C336" i="1" s="1"/>
  <c r="K335" i="1"/>
  <c r="I335" i="1"/>
  <c r="G335" i="1"/>
  <c r="E335" i="1"/>
  <c r="C335" i="1"/>
  <c r="B335" i="1"/>
  <c r="K334" i="1"/>
  <c r="I334" i="1"/>
  <c r="G334" i="1"/>
  <c r="E334" i="1"/>
  <c r="B334" i="1"/>
  <c r="C334" i="1" s="1"/>
  <c r="K333" i="1"/>
  <c r="I333" i="1"/>
  <c r="G333" i="1"/>
  <c r="E333" i="1"/>
  <c r="C333" i="1"/>
  <c r="B333" i="1"/>
  <c r="K332" i="1"/>
  <c r="I332" i="1"/>
  <c r="G332" i="1"/>
  <c r="E332" i="1"/>
  <c r="B332" i="1"/>
  <c r="C332" i="1" s="1"/>
  <c r="K331" i="1"/>
  <c r="I331" i="1"/>
  <c r="G331" i="1"/>
  <c r="E331" i="1"/>
  <c r="C331" i="1"/>
  <c r="B331" i="1"/>
  <c r="K330" i="1"/>
  <c r="I330" i="1"/>
  <c r="G330" i="1"/>
  <c r="E330" i="1"/>
  <c r="C330" i="1"/>
  <c r="B330" i="1"/>
  <c r="K329" i="1"/>
  <c r="I329" i="1"/>
  <c r="G329" i="1"/>
  <c r="E329" i="1"/>
  <c r="C329" i="1"/>
  <c r="B329" i="1"/>
  <c r="K328" i="1"/>
  <c r="I328" i="1"/>
  <c r="G328" i="1"/>
  <c r="E328" i="1"/>
  <c r="B328" i="1"/>
  <c r="C328" i="1" s="1"/>
  <c r="K327" i="1"/>
  <c r="I327" i="1"/>
  <c r="G327" i="1"/>
  <c r="E327" i="1"/>
  <c r="B327" i="1"/>
  <c r="C327" i="1" s="1"/>
  <c r="K326" i="1"/>
  <c r="I326" i="1"/>
  <c r="G326" i="1"/>
  <c r="E326" i="1"/>
  <c r="B326" i="1"/>
  <c r="C326" i="1" s="1"/>
  <c r="K325" i="1"/>
  <c r="I325" i="1"/>
  <c r="G325" i="1"/>
  <c r="E325" i="1"/>
  <c r="C325" i="1"/>
  <c r="B325" i="1"/>
  <c r="K324" i="1"/>
  <c r="I324" i="1"/>
  <c r="G324" i="1"/>
  <c r="E324" i="1"/>
  <c r="B324" i="1"/>
  <c r="C324" i="1" s="1"/>
  <c r="K323" i="1"/>
  <c r="I323" i="1"/>
  <c r="G323" i="1"/>
  <c r="E323" i="1"/>
  <c r="C323" i="1"/>
  <c r="B323" i="1"/>
  <c r="K322" i="1"/>
  <c r="I322" i="1"/>
  <c r="G322" i="1"/>
  <c r="E322" i="1"/>
  <c r="B322" i="1"/>
  <c r="C322" i="1" s="1"/>
  <c r="K321" i="1"/>
  <c r="I321" i="1"/>
  <c r="G321" i="1"/>
  <c r="E321" i="1"/>
  <c r="C321" i="1"/>
  <c r="B321" i="1"/>
  <c r="K320" i="1"/>
  <c r="I320" i="1"/>
  <c r="G320" i="1"/>
  <c r="E320" i="1"/>
  <c r="C320" i="1"/>
  <c r="B320" i="1"/>
  <c r="K319" i="1"/>
  <c r="I319" i="1"/>
  <c r="G319" i="1"/>
  <c r="E319" i="1"/>
  <c r="C319" i="1"/>
  <c r="B319" i="1"/>
  <c r="K318" i="1"/>
  <c r="I318" i="1"/>
  <c r="G318" i="1"/>
  <c r="E318" i="1"/>
  <c r="B318" i="1"/>
  <c r="C318" i="1" s="1"/>
  <c r="K317" i="1"/>
  <c r="I317" i="1"/>
  <c r="G317" i="1"/>
  <c r="E317" i="1"/>
  <c r="B317" i="1"/>
  <c r="C317" i="1" s="1"/>
  <c r="K316" i="1"/>
  <c r="I316" i="1"/>
  <c r="G316" i="1"/>
  <c r="E316" i="1"/>
  <c r="B316" i="1"/>
  <c r="C316" i="1" s="1"/>
  <c r="K315" i="1"/>
  <c r="I315" i="1"/>
  <c r="G315" i="1"/>
  <c r="E315" i="1"/>
  <c r="C315" i="1"/>
  <c r="B315" i="1"/>
  <c r="K314" i="1"/>
  <c r="I314" i="1"/>
  <c r="G314" i="1"/>
  <c r="E314" i="1"/>
  <c r="B314" i="1"/>
  <c r="C314" i="1" s="1"/>
  <c r="K313" i="1"/>
  <c r="I313" i="1"/>
  <c r="G313" i="1"/>
  <c r="E313" i="1"/>
  <c r="C313" i="1"/>
  <c r="B313" i="1"/>
  <c r="K312" i="1"/>
  <c r="I312" i="1"/>
  <c r="G312" i="1"/>
  <c r="E312" i="1"/>
  <c r="B312" i="1"/>
  <c r="C312" i="1" s="1"/>
  <c r="K311" i="1"/>
  <c r="I311" i="1"/>
  <c r="G311" i="1"/>
  <c r="E311" i="1"/>
  <c r="C311" i="1"/>
  <c r="B311" i="1"/>
  <c r="K310" i="1"/>
  <c r="I310" i="1"/>
  <c r="G310" i="1"/>
  <c r="E310" i="1"/>
  <c r="C310" i="1"/>
  <c r="B310" i="1"/>
  <c r="K309" i="1"/>
  <c r="I309" i="1"/>
  <c r="G309" i="1"/>
  <c r="E309" i="1"/>
  <c r="C309" i="1"/>
  <c r="B309" i="1"/>
  <c r="K308" i="1"/>
  <c r="I308" i="1"/>
  <c r="G308" i="1"/>
  <c r="E308" i="1"/>
  <c r="B308" i="1"/>
  <c r="C308" i="1" s="1"/>
  <c r="K307" i="1"/>
  <c r="I307" i="1"/>
  <c r="G307" i="1"/>
  <c r="E307" i="1"/>
  <c r="B307" i="1"/>
  <c r="C307" i="1" s="1"/>
  <c r="K306" i="1"/>
  <c r="I306" i="1"/>
  <c r="G306" i="1"/>
  <c r="E306" i="1"/>
  <c r="B306" i="1"/>
  <c r="C306" i="1" s="1"/>
  <c r="K305" i="1"/>
  <c r="I305" i="1"/>
  <c r="G305" i="1"/>
  <c r="E305" i="1"/>
  <c r="C305" i="1"/>
  <c r="B305" i="1"/>
  <c r="K304" i="1"/>
  <c r="I304" i="1"/>
  <c r="G304" i="1"/>
  <c r="E304" i="1"/>
  <c r="B304" i="1"/>
  <c r="C304" i="1" s="1"/>
  <c r="K303" i="1"/>
  <c r="I303" i="1"/>
  <c r="G303" i="1"/>
  <c r="E303" i="1"/>
  <c r="C303" i="1"/>
  <c r="B303" i="1"/>
  <c r="K302" i="1"/>
  <c r="I302" i="1"/>
  <c r="G302" i="1"/>
  <c r="E302" i="1"/>
  <c r="B302" i="1"/>
  <c r="C302" i="1" s="1"/>
  <c r="K301" i="1"/>
  <c r="I301" i="1"/>
  <c r="G301" i="1"/>
  <c r="E301" i="1"/>
  <c r="C301" i="1"/>
  <c r="B301" i="1"/>
  <c r="K300" i="1"/>
  <c r="I300" i="1"/>
  <c r="G300" i="1"/>
  <c r="E300" i="1"/>
  <c r="C300" i="1"/>
  <c r="B300" i="1"/>
  <c r="K299" i="1"/>
  <c r="I299" i="1"/>
  <c r="G299" i="1"/>
  <c r="E299" i="1"/>
  <c r="C299" i="1"/>
  <c r="B299" i="1"/>
  <c r="K298" i="1"/>
  <c r="I298" i="1"/>
  <c r="G298" i="1"/>
  <c r="E298" i="1"/>
  <c r="B298" i="1"/>
  <c r="C298" i="1" s="1"/>
  <c r="K297" i="1"/>
  <c r="I297" i="1"/>
  <c r="G297" i="1"/>
  <c r="E297" i="1"/>
  <c r="B297" i="1"/>
  <c r="C297" i="1" s="1"/>
  <c r="K296" i="1"/>
  <c r="I296" i="1"/>
  <c r="G296" i="1"/>
  <c r="E296" i="1"/>
  <c r="B296" i="1"/>
  <c r="C296" i="1" s="1"/>
  <c r="K295" i="1"/>
  <c r="I295" i="1"/>
  <c r="G295" i="1"/>
  <c r="E295" i="1"/>
  <c r="C295" i="1"/>
  <c r="B295" i="1"/>
  <c r="K294" i="1"/>
  <c r="I294" i="1"/>
  <c r="G294" i="1"/>
  <c r="E294" i="1"/>
  <c r="B294" i="1"/>
  <c r="C294" i="1" s="1"/>
  <c r="K293" i="1"/>
  <c r="I293" i="1"/>
  <c r="G293" i="1"/>
  <c r="E293" i="1"/>
  <c r="C293" i="1"/>
  <c r="B293" i="1"/>
  <c r="K292" i="1"/>
  <c r="I292" i="1"/>
  <c r="G292" i="1"/>
  <c r="E292" i="1"/>
  <c r="B292" i="1"/>
  <c r="C292" i="1" s="1"/>
  <c r="K291" i="1"/>
  <c r="I291" i="1"/>
  <c r="G291" i="1"/>
  <c r="E291" i="1"/>
  <c r="C291" i="1"/>
  <c r="B291" i="1"/>
  <c r="K290" i="1"/>
  <c r="I290" i="1"/>
  <c r="G290" i="1"/>
  <c r="E290" i="1"/>
  <c r="C290" i="1"/>
  <c r="B290" i="1"/>
  <c r="K289" i="1"/>
  <c r="I289" i="1"/>
  <c r="G289" i="1"/>
  <c r="E289" i="1"/>
  <c r="C289" i="1"/>
  <c r="B289" i="1"/>
  <c r="K288" i="1"/>
  <c r="I288" i="1"/>
  <c r="G288" i="1"/>
  <c r="E288" i="1"/>
  <c r="B288" i="1"/>
  <c r="C288" i="1" s="1"/>
  <c r="K287" i="1"/>
  <c r="I287" i="1"/>
  <c r="G287" i="1"/>
  <c r="E287" i="1"/>
  <c r="B287" i="1"/>
  <c r="C287" i="1" s="1"/>
  <c r="K286" i="1"/>
  <c r="I286" i="1"/>
  <c r="G286" i="1"/>
  <c r="E286" i="1"/>
  <c r="B286" i="1"/>
  <c r="C286" i="1" s="1"/>
  <c r="K285" i="1"/>
  <c r="I285" i="1"/>
  <c r="G285" i="1"/>
  <c r="E285" i="1"/>
  <c r="C285" i="1"/>
  <c r="B285" i="1"/>
  <c r="K284" i="1"/>
  <c r="I284" i="1"/>
  <c r="G284" i="1"/>
  <c r="E284" i="1"/>
  <c r="B284" i="1"/>
  <c r="C284" i="1" s="1"/>
  <c r="K283" i="1"/>
  <c r="I283" i="1"/>
  <c r="G283" i="1"/>
  <c r="E283" i="1"/>
  <c r="C283" i="1"/>
  <c r="B283" i="1"/>
  <c r="K282" i="1"/>
  <c r="I282" i="1"/>
  <c r="G282" i="1"/>
  <c r="E282" i="1"/>
  <c r="B282" i="1"/>
  <c r="C282" i="1" s="1"/>
  <c r="K281" i="1"/>
  <c r="I281" i="1"/>
  <c r="G281" i="1"/>
  <c r="E281" i="1"/>
  <c r="C281" i="1"/>
  <c r="B281" i="1"/>
  <c r="K280" i="1"/>
  <c r="I280" i="1"/>
  <c r="G280" i="1"/>
  <c r="E280" i="1"/>
  <c r="C280" i="1"/>
  <c r="B280" i="1"/>
  <c r="K279" i="1"/>
  <c r="I279" i="1"/>
  <c r="G279" i="1"/>
  <c r="E279" i="1"/>
  <c r="C279" i="1"/>
  <c r="B279" i="1"/>
  <c r="K278" i="1"/>
  <c r="I278" i="1"/>
  <c r="G278" i="1"/>
  <c r="E278" i="1"/>
  <c r="B278" i="1"/>
  <c r="C278" i="1" s="1"/>
  <c r="K277" i="1"/>
  <c r="I277" i="1"/>
  <c r="G277" i="1"/>
  <c r="E277" i="1"/>
  <c r="B277" i="1"/>
  <c r="C277" i="1" s="1"/>
  <c r="K276" i="1"/>
  <c r="I276" i="1"/>
  <c r="G276" i="1"/>
  <c r="E276" i="1"/>
  <c r="B276" i="1"/>
  <c r="C276" i="1" s="1"/>
  <c r="K275" i="1"/>
  <c r="I275" i="1"/>
  <c r="G275" i="1"/>
  <c r="E275" i="1"/>
  <c r="C275" i="1"/>
  <c r="B275" i="1"/>
  <c r="K274" i="1"/>
  <c r="I274" i="1"/>
  <c r="G274" i="1"/>
  <c r="E274" i="1"/>
  <c r="B274" i="1"/>
  <c r="C274" i="1" s="1"/>
  <c r="K273" i="1"/>
  <c r="I273" i="1"/>
  <c r="G273" i="1"/>
  <c r="E273" i="1"/>
  <c r="C273" i="1"/>
  <c r="B273" i="1"/>
  <c r="K272" i="1"/>
  <c r="I272" i="1"/>
  <c r="G272" i="1"/>
  <c r="E272" i="1"/>
  <c r="B272" i="1"/>
  <c r="C272" i="1" s="1"/>
  <c r="K271" i="1"/>
  <c r="I271" i="1"/>
  <c r="G271" i="1"/>
  <c r="E271" i="1"/>
  <c r="C271" i="1"/>
  <c r="B271" i="1"/>
  <c r="K270" i="1"/>
  <c r="I270" i="1"/>
  <c r="G270" i="1"/>
  <c r="E270" i="1"/>
  <c r="C270" i="1"/>
  <c r="B270" i="1"/>
  <c r="K269" i="1"/>
  <c r="I269" i="1"/>
  <c r="G269" i="1"/>
  <c r="E269" i="1"/>
  <c r="C269" i="1"/>
  <c r="B269" i="1"/>
  <c r="K268" i="1"/>
  <c r="I268" i="1"/>
  <c r="G268" i="1"/>
  <c r="E268" i="1"/>
  <c r="B268" i="1"/>
  <c r="C268" i="1" s="1"/>
  <c r="K267" i="1"/>
  <c r="I267" i="1"/>
  <c r="G267" i="1"/>
  <c r="E267" i="1"/>
  <c r="B267" i="1"/>
  <c r="C267" i="1" s="1"/>
  <c r="K266" i="1"/>
  <c r="I266" i="1"/>
  <c r="G266" i="1"/>
  <c r="E266" i="1"/>
  <c r="B266" i="1"/>
  <c r="C266" i="1" s="1"/>
  <c r="K265" i="1"/>
  <c r="I265" i="1"/>
  <c r="G265" i="1"/>
  <c r="E265" i="1"/>
  <c r="C265" i="1"/>
  <c r="B265" i="1"/>
  <c r="K264" i="1"/>
  <c r="I264" i="1"/>
  <c r="G264" i="1"/>
  <c r="E264" i="1"/>
  <c r="B264" i="1"/>
  <c r="C264" i="1" s="1"/>
  <c r="K263" i="1"/>
  <c r="I263" i="1"/>
  <c r="G263" i="1"/>
  <c r="E263" i="1"/>
  <c r="C263" i="1"/>
  <c r="B263" i="1"/>
  <c r="K262" i="1"/>
  <c r="I262" i="1"/>
  <c r="G262" i="1"/>
  <c r="E262" i="1"/>
  <c r="B262" i="1"/>
  <c r="C262" i="1" s="1"/>
  <c r="K261" i="1"/>
  <c r="I261" i="1"/>
  <c r="G261" i="1"/>
  <c r="E261" i="1"/>
  <c r="C261" i="1"/>
  <c r="B261" i="1"/>
  <c r="K260" i="1"/>
  <c r="I260" i="1"/>
  <c r="G260" i="1"/>
  <c r="E260" i="1"/>
  <c r="C260" i="1"/>
  <c r="B260" i="1"/>
  <c r="K259" i="1"/>
  <c r="I259" i="1"/>
  <c r="G259" i="1"/>
  <c r="E259" i="1"/>
  <c r="C259" i="1"/>
  <c r="B259" i="1"/>
  <c r="K258" i="1"/>
  <c r="I258" i="1"/>
  <c r="G258" i="1"/>
  <c r="E258" i="1"/>
  <c r="B258" i="1"/>
  <c r="C258" i="1" s="1"/>
  <c r="K257" i="1"/>
  <c r="I257" i="1"/>
  <c r="G257" i="1"/>
  <c r="E257" i="1"/>
  <c r="B257" i="1"/>
  <c r="C257" i="1" s="1"/>
  <c r="K256" i="1"/>
  <c r="I256" i="1"/>
  <c r="G256" i="1"/>
  <c r="E256" i="1"/>
  <c r="B256" i="1"/>
  <c r="C256" i="1" s="1"/>
  <c r="K255" i="1"/>
  <c r="I255" i="1"/>
  <c r="G255" i="1"/>
  <c r="E255" i="1"/>
  <c r="C255" i="1"/>
  <c r="B255" i="1"/>
  <c r="K254" i="1"/>
  <c r="I254" i="1"/>
  <c r="G254" i="1"/>
  <c r="E254" i="1"/>
  <c r="B254" i="1"/>
  <c r="C254" i="1" s="1"/>
  <c r="K253" i="1"/>
  <c r="I253" i="1"/>
  <c r="G253" i="1"/>
  <c r="E253" i="1"/>
  <c r="C253" i="1"/>
  <c r="B253" i="1"/>
  <c r="K252" i="1"/>
  <c r="I252" i="1"/>
  <c r="G252" i="1"/>
  <c r="E252" i="1"/>
  <c r="B252" i="1"/>
  <c r="C252" i="1" s="1"/>
  <c r="K251" i="1"/>
  <c r="I251" i="1"/>
  <c r="G251" i="1"/>
  <c r="E251" i="1"/>
  <c r="C251" i="1"/>
  <c r="B251" i="1"/>
  <c r="K250" i="1"/>
  <c r="I250" i="1"/>
  <c r="G250" i="1"/>
  <c r="E250" i="1"/>
  <c r="C250" i="1"/>
  <c r="B250" i="1"/>
  <c r="K249" i="1"/>
  <c r="I249" i="1"/>
  <c r="G249" i="1"/>
  <c r="E249" i="1"/>
  <c r="C249" i="1"/>
  <c r="B249" i="1"/>
  <c r="K248" i="1"/>
  <c r="I248" i="1"/>
  <c r="G248" i="1"/>
  <c r="E248" i="1"/>
  <c r="B248" i="1"/>
  <c r="C248" i="1" s="1"/>
  <c r="K247" i="1"/>
  <c r="I247" i="1"/>
  <c r="G247" i="1"/>
  <c r="E247" i="1"/>
  <c r="B247" i="1"/>
  <c r="C247" i="1" s="1"/>
  <c r="K246" i="1"/>
  <c r="I246" i="1"/>
  <c r="G246" i="1"/>
  <c r="E246" i="1"/>
  <c r="B246" i="1"/>
  <c r="C246" i="1" s="1"/>
  <c r="K245" i="1"/>
  <c r="I245" i="1"/>
  <c r="G245" i="1"/>
  <c r="E245" i="1"/>
  <c r="C245" i="1"/>
  <c r="B245" i="1"/>
  <c r="K244" i="1"/>
  <c r="I244" i="1"/>
  <c r="G244" i="1"/>
  <c r="E244" i="1"/>
  <c r="B244" i="1"/>
  <c r="C244" i="1" s="1"/>
  <c r="K243" i="1"/>
  <c r="I243" i="1"/>
  <c r="G243" i="1"/>
  <c r="E243" i="1"/>
  <c r="C243" i="1"/>
  <c r="B243" i="1"/>
  <c r="K242" i="1"/>
  <c r="I242" i="1"/>
  <c r="G242" i="1"/>
  <c r="E242" i="1"/>
  <c r="B242" i="1"/>
  <c r="C242" i="1" s="1"/>
  <c r="K241" i="1"/>
  <c r="I241" i="1"/>
  <c r="G241" i="1"/>
  <c r="E241" i="1"/>
  <c r="C241" i="1"/>
  <c r="B241" i="1"/>
  <c r="K240" i="1"/>
  <c r="I240" i="1"/>
  <c r="G240" i="1"/>
  <c r="E240" i="1"/>
  <c r="C240" i="1"/>
  <c r="B240" i="1"/>
  <c r="K239" i="1"/>
  <c r="I239" i="1"/>
  <c r="G239" i="1"/>
  <c r="E239" i="1"/>
  <c r="C239" i="1"/>
  <c r="B239" i="1"/>
  <c r="K238" i="1"/>
  <c r="I238" i="1"/>
  <c r="G238" i="1"/>
  <c r="E238" i="1"/>
  <c r="B238" i="1"/>
  <c r="C238" i="1" s="1"/>
  <c r="K237" i="1"/>
  <c r="I237" i="1"/>
  <c r="G237" i="1"/>
  <c r="E237" i="1"/>
  <c r="B237" i="1"/>
  <c r="C237" i="1" s="1"/>
  <c r="K236" i="1"/>
  <c r="I236" i="1"/>
  <c r="G236" i="1"/>
  <c r="E236" i="1"/>
  <c r="B236" i="1"/>
  <c r="C236" i="1" s="1"/>
  <c r="K235" i="1"/>
  <c r="I235" i="1"/>
  <c r="G235" i="1"/>
  <c r="E235" i="1"/>
  <c r="C235" i="1"/>
  <c r="B235" i="1"/>
  <c r="K234" i="1"/>
  <c r="I234" i="1"/>
  <c r="G234" i="1"/>
  <c r="E234" i="1"/>
  <c r="B234" i="1"/>
  <c r="C234" i="1" s="1"/>
  <c r="K233" i="1"/>
  <c r="I233" i="1"/>
  <c r="G233" i="1"/>
  <c r="E233" i="1"/>
  <c r="C233" i="1"/>
  <c r="B233" i="1"/>
  <c r="K232" i="1"/>
  <c r="I232" i="1"/>
  <c r="G232" i="1"/>
  <c r="E232" i="1"/>
  <c r="B232" i="1"/>
  <c r="C232" i="1" s="1"/>
  <c r="K231" i="1"/>
  <c r="I231" i="1"/>
  <c r="G231" i="1"/>
  <c r="E231" i="1"/>
  <c r="C231" i="1"/>
  <c r="B231" i="1"/>
  <c r="K230" i="1"/>
  <c r="I230" i="1"/>
  <c r="G230" i="1"/>
  <c r="E230" i="1"/>
  <c r="C230" i="1"/>
  <c r="B230" i="1"/>
  <c r="K229" i="1"/>
  <c r="I229" i="1"/>
  <c r="G229" i="1"/>
  <c r="E229" i="1"/>
  <c r="C229" i="1"/>
  <c r="B229" i="1"/>
  <c r="K228" i="1"/>
  <c r="I228" i="1"/>
  <c r="G228" i="1"/>
  <c r="E228" i="1"/>
  <c r="B228" i="1"/>
  <c r="C228" i="1" s="1"/>
  <c r="K227" i="1"/>
  <c r="I227" i="1"/>
  <c r="G227" i="1"/>
  <c r="E227" i="1"/>
  <c r="B227" i="1"/>
  <c r="C227" i="1" s="1"/>
  <c r="K226" i="1"/>
  <c r="I226" i="1"/>
  <c r="G226" i="1"/>
  <c r="E226" i="1"/>
  <c r="B226" i="1"/>
  <c r="C226" i="1" s="1"/>
  <c r="K225" i="1"/>
  <c r="I225" i="1"/>
  <c r="G225" i="1"/>
  <c r="E225" i="1"/>
  <c r="C225" i="1"/>
  <c r="B225" i="1"/>
  <c r="K224" i="1"/>
  <c r="I224" i="1"/>
  <c r="G224" i="1"/>
  <c r="E224" i="1"/>
  <c r="B224" i="1"/>
  <c r="C224" i="1" s="1"/>
  <c r="K223" i="1"/>
  <c r="I223" i="1"/>
  <c r="G223" i="1"/>
  <c r="E223" i="1"/>
  <c r="C223" i="1"/>
  <c r="B223" i="1"/>
  <c r="K222" i="1"/>
  <c r="I222" i="1"/>
  <c r="G222" i="1"/>
  <c r="E222" i="1"/>
  <c r="B222" i="1"/>
  <c r="C222" i="1" s="1"/>
  <c r="K221" i="1"/>
  <c r="I221" i="1"/>
  <c r="G221" i="1"/>
  <c r="E221" i="1"/>
  <c r="C221" i="1"/>
  <c r="B221" i="1"/>
  <c r="K220" i="1"/>
  <c r="I220" i="1"/>
  <c r="G220" i="1"/>
  <c r="E220" i="1"/>
  <c r="C220" i="1"/>
  <c r="B220" i="1"/>
  <c r="K219" i="1"/>
  <c r="I219" i="1"/>
  <c r="G219" i="1"/>
  <c r="E219" i="1"/>
  <c r="C219" i="1"/>
  <c r="B219" i="1"/>
  <c r="K218" i="1"/>
  <c r="I218" i="1"/>
  <c r="G218" i="1"/>
  <c r="E218" i="1"/>
  <c r="B218" i="1"/>
  <c r="C218" i="1" s="1"/>
  <c r="K217" i="1"/>
  <c r="I217" i="1"/>
  <c r="G217" i="1"/>
  <c r="E217" i="1"/>
  <c r="B217" i="1"/>
  <c r="C217" i="1" s="1"/>
  <c r="K216" i="1"/>
  <c r="I216" i="1"/>
  <c r="G216" i="1"/>
  <c r="E216" i="1"/>
  <c r="B216" i="1"/>
  <c r="C216" i="1" s="1"/>
  <c r="K215" i="1"/>
  <c r="I215" i="1"/>
  <c r="G215" i="1"/>
  <c r="E215" i="1"/>
  <c r="C215" i="1"/>
  <c r="B215" i="1"/>
  <c r="K214" i="1"/>
  <c r="I214" i="1"/>
  <c r="G214" i="1"/>
  <c r="E214" i="1"/>
  <c r="B214" i="1"/>
  <c r="C214" i="1" s="1"/>
  <c r="K213" i="1"/>
  <c r="I213" i="1"/>
  <c r="G213" i="1"/>
  <c r="E213" i="1"/>
  <c r="C213" i="1"/>
  <c r="B213" i="1"/>
  <c r="K212" i="1"/>
  <c r="I212" i="1"/>
  <c r="G212" i="1"/>
  <c r="E212" i="1"/>
  <c r="B212" i="1"/>
  <c r="C212" i="1" s="1"/>
  <c r="K211" i="1"/>
  <c r="I211" i="1"/>
  <c r="G211" i="1"/>
  <c r="E211" i="1"/>
  <c r="C211" i="1"/>
  <c r="B211" i="1"/>
  <c r="K210" i="1"/>
  <c r="I210" i="1"/>
  <c r="G210" i="1"/>
  <c r="E210" i="1"/>
  <c r="C210" i="1"/>
  <c r="B210" i="1"/>
  <c r="K209" i="1"/>
  <c r="I209" i="1"/>
  <c r="G209" i="1"/>
  <c r="E209" i="1"/>
  <c r="C209" i="1"/>
  <c r="B209" i="1"/>
  <c r="K208" i="1"/>
  <c r="I208" i="1"/>
  <c r="G208" i="1"/>
  <c r="E208" i="1"/>
  <c r="B208" i="1"/>
  <c r="C208" i="1" s="1"/>
  <c r="K207" i="1"/>
  <c r="I207" i="1"/>
  <c r="G207" i="1"/>
  <c r="E207" i="1"/>
  <c r="B207" i="1"/>
  <c r="C207" i="1" s="1"/>
  <c r="K206" i="1"/>
  <c r="I206" i="1"/>
  <c r="G206" i="1"/>
  <c r="E206" i="1"/>
  <c r="B206" i="1"/>
  <c r="C206" i="1" s="1"/>
  <c r="K205" i="1"/>
  <c r="I205" i="1"/>
  <c r="G205" i="1"/>
  <c r="E205" i="1"/>
  <c r="C205" i="1"/>
  <c r="B205" i="1"/>
  <c r="K204" i="1"/>
  <c r="I204" i="1"/>
  <c r="G204" i="1"/>
  <c r="E204" i="1"/>
  <c r="B204" i="1"/>
  <c r="C204" i="1" s="1"/>
  <c r="K203" i="1"/>
  <c r="I203" i="1"/>
  <c r="G203" i="1"/>
  <c r="E203" i="1"/>
  <c r="C203" i="1"/>
  <c r="B203" i="1"/>
  <c r="K202" i="1"/>
  <c r="I202" i="1"/>
  <c r="G202" i="1"/>
  <c r="E202" i="1"/>
  <c r="B202" i="1"/>
  <c r="C202" i="1" s="1"/>
  <c r="K201" i="1"/>
  <c r="I201" i="1"/>
  <c r="G201" i="1"/>
  <c r="E201" i="1"/>
  <c r="C201" i="1"/>
  <c r="B201" i="1"/>
  <c r="K200" i="1"/>
  <c r="I200" i="1"/>
  <c r="G200" i="1"/>
  <c r="E200" i="1"/>
  <c r="C200" i="1"/>
  <c r="B200" i="1"/>
  <c r="K199" i="1"/>
  <c r="I199" i="1"/>
  <c r="G199" i="1"/>
  <c r="E199" i="1"/>
  <c r="C199" i="1"/>
  <c r="B199" i="1"/>
  <c r="K198" i="1"/>
  <c r="I198" i="1"/>
  <c r="G198" i="1"/>
  <c r="E198" i="1"/>
  <c r="B198" i="1"/>
  <c r="C198" i="1" s="1"/>
  <c r="K197" i="1"/>
  <c r="I197" i="1"/>
  <c r="G197" i="1"/>
  <c r="E197" i="1"/>
  <c r="B197" i="1"/>
  <c r="C197" i="1" s="1"/>
  <c r="K196" i="1"/>
  <c r="I196" i="1"/>
  <c r="G196" i="1"/>
  <c r="E196" i="1"/>
  <c r="B196" i="1"/>
  <c r="C196" i="1" s="1"/>
  <c r="K195" i="1"/>
  <c r="I195" i="1"/>
  <c r="G195" i="1"/>
  <c r="E195" i="1"/>
  <c r="C195" i="1"/>
  <c r="B195" i="1"/>
  <c r="K194" i="1"/>
  <c r="I194" i="1"/>
  <c r="G194" i="1"/>
  <c r="E194" i="1"/>
  <c r="B194" i="1"/>
  <c r="C194" i="1" s="1"/>
  <c r="K193" i="1"/>
  <c r="I193" i="1"/>
  <c r="G193" i="1"/>
  <c r="E193" i="1"/>
  <c r="C193" i="1"/>
  <c r="B193" i="1"/>
  <c r="K192" i="1"/>
  <c r="I192" i="1"/>
  <c r="G192" i="1"/>
  <c r="E192" i="1"/>
  <c r="B192" i="1"/>
  <c r="C192" i="1" s="1"/>
  <c r="K191" i="1"/>
  <c r="I191" i="1"/>
  <c r="G191" i="1"/>
  <c r="E191" i="1"/>
  <c r="C191" i="1"/>
  <c r="B191" i="1"/>
  <c r="K190" i="1"/>
  <c r="I190" i="1"/>
  <c r="G190" i="1"/>
  <c r="E190" i="1"/>
  <c r="C190" i="1"/>
  <c r="B190" i="1"/>
  <c r="K189" i="1"/>
  <c r="I189" i="1"/>
  <c r="G189" i="1"/>
  <c r="E189" i="1"/>
  <c r="C189" i="1"/>
  <c r="B189" i="1"/>
  <c r="K188" i="1"/>
  <c r="I188" i="1"/>
  <c r="G188" i="1"/>
  <c r="E188" i="1"/>
  <c r="B188" i="1"/>
  <c r="C188" i="1" s="1"/>
  <c r="K187" i="1"/>
  <c r="I187" i="1"/>
  <c r="G187" i="1"/>
  <c r="E187" i="1"/>
  <c r="B187" i="1"/>
  <c r="C187" i="1" s="1"/>
  <c r="K186" i="1"/>
  <c r="I186" i="1"/>
  <c r="G186" i="1"/>
  <c r="E186" i="1"/>
  <c r="B186" i="1"/>
  <c r="C186" i="1" s="1"/>
  <c r="K185" i="1"/>
  <c r="I185" i="1"/>
  <c r="G185" i="1"/>
  <c r="E185" i="1"/>
  <c r="C185" i="1"/>
  <c r="B185" i="1"/>
  <c r="K184" i="1"/>
  <c r="I184" i="1"/>
  <c r="G184" i="1"/>
  <c r="E184" i="1"/>
  <c r="B184" i="1"/>
  <c r="C184" i="1" s="1"/>
  <c r="K183" i="1"/>
  <c r="I183" i="1"/>
  <c r="G183" i="1"/>
  <c r="E183" i="1"/>
  <c r="C183" i="1"/>
  <c r="B183" i="1"/>
  <c r="K182" i="1"/>
  <c r="I182" i="1"/>
  <c r="G182" i="1"/>
  <c r="E182" i="1"/>
  <c r="B182" i="1"/>
  <c r="C182" i="1" s="1"/>
  <c r="K181" i="1"/>
  <c r="I181" i="1"/>
  <c r="G181" i="1"/>
  <c r="E181" i="1"/>
  <c r="C181" i="1"/>
  <c r="B181" i="1"/>
  <c r="K180" i="1"/>
  <c r="I180" i="1"/>
  <c r="G180" i="1"/>
  <c r="E180" i="1"/>
  <c r="C180" i="1"/>
  <c r="B180" i="1"/>
  <c r="K179" i="1"/>
  <c r="I179" i="1"/>
  <c r="G179" i="1"/>
  <c r="E179" i="1"/>
  <c r="C179" i="1"/>
  <c r="B179" i="1"/>
  <c r="K178" i="1"/>
  <c r="I178" i="1"/>
  <c r="G178" i="1"/>
  <c r="E178" i="1"/>
  <c r="B178" i="1"/>
  <c r="C178" i="1" s="1"/>
  <c r="K177" i="1"/>
  <c r="I177" i="1"/>
  <c r="G177" i="1"/>
  <c r="E177" i="1"/>
  <c r="B177" i="1"/>
  <c r="C177" i="1" s="1"/>
  <c r="K176" i="1"/>
  <c r="I176" i="1"/>
  <c r="G176" i="1"/>
  <c r="E176" i="1"/>
  <c r="B176" i="1"/>
  <c r="C176" i="1" s="1"/>
  <c r="K175" i="1"/>
  <c r="I175" i="1"/>
  <c r="G175" i="1"/>
  <c r="E175" i="1"/>
  <c r="C175" i="1"/>
  <c r="B175" i="1"/>
  <c r="K174" i="1"/>
  <c r="I174" i="1"/>
  <c r="G174" i="1"/>
  <c r="E174" i="1"/>
  <c r="B174" i="1"/>
  <c r="C174" i="1" s="1"/>
  <c r="K173" i="1"/>
  <c r="I173" i="1"/>
  <c r="G173" i="1"/>
  <c r="E173" i="1"/>
  <c r="C173" i="1"/>
  <c r="B173" i="1"/>
  <c r="K172" i="1"/>
  <c r="I172" i="1"/>
  <c r="G172" i="1"/>
  <c r="E172" i="1"/>
  <c r="B172" i="1"/>
  <c r="C172" i="1" s="1"/>
  <c r="K171" i="1"/>
  <c r="I171" i="1"/>
  <c r="G171" i="1"/>
  <c r="E171" i="1"/>
  <c r="C171" i="1"/>
  <c r="B171" i="1"/>
  <c r="K170" i="1"/>
  <c r="I170" i="1"/>
  <c r="G170" i="1"/>
  <c r="E170" i="1"/>
  <c r="C170" i="1"/>
  <c r="B170" i="1"/>
  <c r="K169" i="1"/>
  <c r="I169" i="1"/>
  <c r="G169" i="1"/>
  <c r="E169" i="1"/>
  <c r="C169" i="1"/>
  <c r="B169" i="1"/>
  <c r="K168" i="1"/>
  <c r="I168" i="1"/>
  <c r="G168" i="1"/>
  <c r="E168" i="1"/>
  <c r="B168" i="1"/>
  <c r="C168" i="1" s="1"/>
  <c r="K167" i="1"/>
  <c r="I167" i="1"/>
  <c r="G167" i="1"/>
  <c r="E167" i="1"/>
  <c r="B167" i="1"/>
  <c r="C167" i="1" s="1"/>
  <c r="K166" i="1"/>
  <c r="I166" i="1"/>
  <c r="G166" i="1"/>
  <c r="E166" i="1"/>
  <c r="B166" i="1"/>
  <c r="C166" i="1" s="1"/>
  <c r="K165" i="1"/>
  <c r="I165" i="1"/>
  <c r="G165" i="1"/>
  <c r="E165" i="1"/>
  <c r="C165" i="1"/>
  <c r="B165" i="1"/>
  <c r="K164" i="1"/>
  <c r="I164" i="1"/>
  <c r="G164" i="1"/>
  <c r="E164" i="1"/>
  <c r="B164" i="1"/>
  <c r="C164" i="1" s="1"/>
  <c r="K163" i="1"/>
  <c r="I163" i="1"/>
  <c r="G163" i="1"/>
  <c r="E163" i="1"/>
  <c r="C163" i="1"/>
  <c r="B163" i="1"/>
  <c r="K162" i="1"/>
  <c r="I162" i="1"/>
  <c r="G162" i="1"/>
  <c r="E162" i="1"/>
  <c r="B162" i="1"/>
  <c r="C162" i="1" s="1"/>
  <c r="K161" i="1"/>
  <c r="I161" i="1"/>
  <c r="G161" i="1"/>
  <c r="E161" i="1"/>
  <c r="C161" i="1"/>
  <c r="B161" i="1"/>
  <c r="K160" i="1"/>
  <c r="I160" i="1"/>
  <c r="G160" i="1"/>
  <c r="E160" i="1"/>
  <c r="C160" i="1"/>
  <c r="B160" i="1"/>
  <c r="K159" i="1"/>
  <c r="I159" i="1"/>
  <c r="G159" i="1"/>
  <c r="E159" i="1"/>
  <c r="C159" i="1"/>
  <c r="B159" i="1"/>
  <c r="K158" i="1"/>
  <c r="I158" i="1"/>
  <c r="G158" i="1"/>
  <c r="E158" i="1"/>
  <c r="B158" i="1"/>
  <c r="C158" i="1" s="1"/>
  <c r="K157" i="1"/>
  <c r="I157" i="1"/>
  <c r="G157" i="1"/>
  <c r="E157" i="1"/>
  <c r="B157" i="1"/>
  <c r="C157" i="1" s="1"/>
  <c r="K156" i="1"/>
  <c r="I156" i="1"/>
  <c r="G156" i="1"/>
  <c r="E156" i="1"/>
  <c r="B156" i="1"/>
  <c r="C156" i="1" s="1"/>
  <c r="K155" i="1"/>
  <c r="I155" i="1"/>
  <c r="G155" i="1"/>
  <c r="E155" i="1"/>
  <c r="C155" i="1"/>
  <c r="B155" i="1"/>
  <c r="K154" i="1"/>
  <c r="I154" i="1"/>
  <c r="G154" i="1"/>
  <c r="E154" i="1"/>
  <c r="B154" i="1"/>
  <c r="C154" i="1" s="1"/>
  <c r="K153" i="1"/>
  <c r="I153" i="1"/>
  <c r="G153" i="1"/>
  <c r="E153" i="1"/>
  <c r="C153" i="1"/>
  <c r="B153" i="1"/>
  <c r="K152" i="1"/>
  <c r="I152" i="1"/>
  <c r="G152" i="1"/>
  <c r="E152" i="1"/>
  <c r="B152" i="1"/>
  <c r="C152" i="1" s="1"/>
  <c r="K151" i="1"/>
  <c r="I151" i="1"/>
  <c r="G151" i="1"/>
  <c r="E151" i="1"/>
  <c r="C151" i="1"/>
  <c r="B151" i="1"/>
  <c r="K150" i="1"/>
  <c r="I150" i="1"/>
  <c r="G150" i="1"/>
  <c r="E150" i="1"/>
  <c r="C150" i="1"/>
  <c r="B150" i="1"/>
  <c r="K149" i="1"/>
  <c r="I149" i="1"/>
  <c r="G149" i="1"/>
  <c r="E149" i="1"/>
  <c r="C149" i="1"/>
  <c r="B149" i="1"/>
  <c r="K148" i="1"/>
  <c r="I148" i="1"/>
  <c r="G148" i="1"/>
  <c r="E148" i="1"/>
  <c r="B148" i="1"/>
  <c r="C148" i="1" s="1"/>
  <c r="K147" i="1"/>
  <c r="I147" i="1"/>
  <c r="G147" i="1"/>
  <c r="E147" i="1"/>
  <c r="B147" i="1"/>
  <c r="C147" i="1" s="1"/>
  <c r="K146" i="1"/>
  <c r="I146" i="1"/>
  <c r="G146" i="1"/>
  <c r="E146" i="1"/>
  <c r="B146" i="1"/>
  <c r="C146" i="1" s="1"/>
  <c r="K145" i="1"/>
  <c r="I145" i="1"/>
  <c r="G145" i="1"/>
  <c r="E145" i="1"/>
  <c r="C145" i="1"/>
  <c r="B145" i="1"/>
  <c r="K144" i="1"/>
  <c r="I144" i="1"/>
  <c r="G144" i="1"/>
  <c r="E144" i="1"/>
  <c r="B144" i="1"/>
  <c r="C144" i="1" s="1"/>
  <c r="K143" i="1"/>
  <c r="I143" i="1"/>
  <c r="G143" i="1"/>
  <c r="E143" i="1"/>
  <c r="C143" i="1"/>
  <c r="B143" i="1"/>
  <c r="K142" i="1"/>
  <c r="I142" i="1"/>
  <c r="G142" i="1"/>
  <c r="E142" i="1"/>
  <c r="B142" i="1"/>
  <c r="C142" i="1" s="1"/>
  <c r="K141" i="1"/>
  <c r="I141" i="1"/>
  <c r="G141" i="1"/>
  <c r="E141" i="1"/>
  <c r="C141" i="1"/>
  <c r="B141" i="1"/>
  <c r="K140" i="1"/>
  <c r="I140" i="1"/>
  <c r="G140" i="1"/>
  <c r="E140" i="1"/>
  <c r="C140" i="1"/>
  <c r="B140" i="1"/>
  <c r="K139" i="1"/>
  <c r="I139" i="1"/>
  <c r="G139" i="1"/>
  <c r="E139" i="1"/>
  <c r="C139" i="1"/>
  <c r="B139" i="1"/>
  <c r="K138" i="1"/>
  <c r="I138" i="1"/>
  <c r="G138" i="1"/>
  <c r="E138" i="1"/>
  <c r="B138" i="1"/>
  <c r="C138" i="1" s="1"/>
  <c r="K137" i="1"/>
  <c r="I137" i="1"/>
  <c r="G137" i="1"/>
  <c r="E137" i="1"/>
  <c r="B137" i="1"/>
  <c r="C137" i="1" s="1"/>
  <c r="K136" i="1"/>
  <c r="I136" i="1"/>
  <c r="G136" i="1"/>
  <c r="E136" i="1"/>
  <c r="B136" i="1"/>
  <c r="C136" i="1" s="1"/>
  <c r="K135" i="1"/>
  <c r="I135" i="1"/>
  <c r="G135" i="1"/>
  <c r="E135" i="1"/>
  <c r="C135" i="1"/>
  <c r="B135" i="1"/>
  <c r="K134" i="1"/>
  <c r="I134" i="1"/>
  <c r="G134" i="1"/>
  <c r="E134" i="1"/>
  <c r="B134" i="1"/>
  <c r="C134" i="1" s="1"/>
  <c r="K133" i="1"/>
  <c r="I133" i="1"/>
  <c r="G133" i="1"/>
  <c r="E133" i="1"/>
  <c r="C133" i="1"/>
  <c r="B133" i="1"/>
  <c r="K132" i="1"/>
  <c r="I132" i="1"/>
  <c r="G132" i="1"/>
  <c r="E132" i="1"/>
  <c r="B132" i="1"/>
  <c r="C132" i="1" s="1"/>
  <c r="K131" i="1"/>
  <c r="I131" i="1"/>
  <c r="G131" i="1"/>
  <c r="E131" i="1"/>
  <c r="C131" i="1"/>
  <c r="B131" i="1"/>
  <c r="K130" i="1"/>
  <c r="I130" i="1"/>
  <c r="G130" i="1"/>
  <c r="E130" i="1"/>
  <c r="C130" i="1"/>
  <c r="B130" i="1"/>
  <c r="K129" i="1"/>
  <c r="I129" i="1"/>
  <c r="G129" i="1"/>
  <c r="E129" i="1"/>
  <c r="C129" i="1"/>
  <c r="B129" i="1"/>
  <c r="K128" i="1"/>
  <c r="I128" i="1"/>
  <c r="G128" i="1"/>
  <c r="E128" i="1"/>
  <c r="B128" i="1"/>
  <c r="C128" i="1" s="1"/>
  <c r="K127" i="1"/>
  <c r="I127" i="1"/>
  <c r="G127" i="1"/>
  <c r="E127" i="1"/>
  <c r="B127" i="1"/>
  <c r="C127" i="1" s="1"/>
  <c r="K126" i="1"/>
  <c r="I126" i="1"/>
  <c r="G126" i="1"/>
  <c r="E126" i="1"/>
  <c r="B126" i="1"/>
  <c r="C126" i="1" s="1"/>
  <c r="K125" i="1"/>
  <c r="I125" i="1"/>
  <c r="G125" i="1"/>
  <c r="E125" i="1"/>
  <c r="C125" i="1"/>
  <c r="B125" i="1"/>
  <c r="K124" i="1"/>
  <c r="I124" i="1"/>
  <c r="G124" i="1"/>
  <c r="E124" i="1"/>
  <c r="B124" i="1"/>
  <c r="C124" i="1" s="1"/>
  <c r="K123" i="1"/>
  <c r="I123" i="1"/>
  <c r="G123" i="1"/>
  <c r="E123" i="1"/>
  <c r="B123" i="1"/>
  <c r="C123" i="1" s="1"/>
  <c r="K122" i="1"/>
  <c r="I122" i="1"/>
  <c r="G122" i="1"/>
  <c r="E122" i="1"/>
  <c r="B122" i="1"/>
  <c r="C122" i="1" s="1"/>
  <c r="K121" i="1"/>
  <c r="I121" i="1"/>
  <c r="G121" i="1"/>
  <c r="E121" i="1"/>
  <c r="C121" i="1"/>
  <c r="B121" i="1"/>
  <c r="K120" i="1"/>
  <c r="I120" i="1"/>
  <c r="G120" i="1"/>
  <c r="E120" i="1"/>
  <c r="C120" i="1"/>
  <c r="B120" i="1"/>
  <c r="K119" i="1"/>
  <c r="I119" i="1"/>
  <c r="G119" i="1"/>
  <c r="E119" i="1"/>
  <c r="C119" i="1"/>
  <c r="B119" i="1"/>
  <c r="K118" i="1"/>
  <c r="I118" i="1"/>
  <c r="G118" i="1"/>
  <c r="E118" i="1"/>
  <c r="B118" i="1"/>
  <c r="C118" i="1" s="1"/>
  <c r="K117" i="1"/>
  <c r="I117" i="1"/>
  <c r="G117" i="1"/>
  <c r="E117" i="1"/>
  <c r="B117" i="1"/>
  <c r="C117" i="1" s="1"/>
  <c r="K116" i="1"/>
  <c r="I116" i="1"/>
  <c r="G116" i="1"/>
  <c r="E116" i="1"/>
  <c r="B116" i="1"/>
  <c r="C116" i="1" s="1"/>
  <c r="K115" i="1"/>
  <c r="I115" i="1"/>
  <c r="G115" i="1"/>
  <c r="E115" i="1"/>
  <c r="C115" i="1"/>
  <c r="B115" i="1"/>
  <c r="K114" i="1"/>
  <c r="I114" i="1"/>
  <c r="G114" i="1"/>
  <c r="E114" i="1"/>
  <c r="B114" i="1"/>
  <c r="C114" i="1" s="1"/>
  <c r="K113" i="1"/>
  <c r="I113" i="1"/>
  <c r="G113" i="1"/>
  <c r="E113" i="1"/>
  <c r="B113" i="1"/>
  <c r="C113" i="1" s="1"/>
  <c r="K112" i="1"/>
  <c r="I112" i="1"/>
  <c r="G112" i="1"/>
  <c r="E112" i="1"/>
  <c r="B112" i="1"/>
  <c r="C112" i="1" s="1"/>
  <c r="K111" i="1"/>
  <c r="I111" i="1"/>
  <c r="G111" i="1"/>
  <c r="E111" i="1"/>
  <c r="C111" i="1"/>
  <c r="B111" i="1"/>
  <c r="K110" i="1"/>
  <c r="I110" i="1"/>
  <c r="G110" i="1"/>
  <c r="E110" i="1"/>
  <c r="C110" i="1"/>
  <c r="B110" i="1"/>
  <c r="K109" i="1"/>
  <c r="I109" i="1"/>
  <c r="G109" i="1"/>
  <c r="E109" i="1"/>
  <c r="C109" i="1"/>
  <c r="B109" i="1"/>
  <c r="K108" i="1"/>
  <c r="I108" i="1"/>
  <c r="G108" i="1"/>
  <c r="E108" i="1"/>
  <c r="B108" i="1"/>
  <c r="C108" i="1" s="1"/>
  <c r="K107" i="1"/>
  <c r="I107" i="1"/>
  <c r="G107" i="1"/>
  <c r="E107" i="1"/>
  <c r="B107" i="1"/>
  <c r="C107" i="1" s="1"/>
  <c r="K106" i="1"/>
  <c r="I106" i="1"/>
  <c r="G106" i="1"/>
  <c r="E106" i="1"/>
  <c r="B106" i="1"/>
  <c r="C106" i="1" s="1"/>
  <c r="K105" i="1"/>
  <c r="I105" i="1"/>
  <c r="G105" i="1"/>
  <c r="E105" i="1"/>
  <c r="C105" i="1"/>
  <c r="B105" i="1"/>
  <c r="K104" i="1"/>
  <c r="I104" i="1"/>
  <c r="G104" i="1"/>
  <c r="E104" i="1"/>
  <c r="B104" i="1"/>
  <c r="C104" i="1" s="1"/>
  <c r="K103" i="1"/>
  <c r="I103" i="1"/>
  <c r="G103" i="1"/>
  <c r="E103" i="1"/>
  <c r="B103" i="1"/>
  <c r="C103" i="1" s="1"/>
  <c r="K102" i="1"/>
  <c r="I102" i="1"/>
  <c r="G102" i="1"/>
  <c r="E102" i="1"/>
  <c r="B102" i="1"/>
  <c r="C102" i="1" s="1"/>
  <c r="K101" i="1"/>
  <c r="I101" i="1"/>
  <c r="G101" i="1"/>
  <c r="E101" i="1"/>
  <c r="C101" i="1"/>
  <c r="B101" i="1"/>
  <c r="K100" i="1"/>
  <c r="I100" i="1"/>
  <c r="G100" i="1"/>
  <c r="E100" i="1"/>
  <c r="C100" i="1"/>
  <c r="B100" i="1"/>
  <c r="K99" i="1"/>
  <c r="I99" i="1"/>
  <c r="G99" i="1"/>
  <c r="E99" i="1"/>
  <c r="C99" i="1"/>
  <c r="B99" i="1"/>
  <c r="K98" i="1"/>
  <c r="I98" i="1"/>
  <c r="G98" i="1"/>
  <c r="E98" i="1"/>
  <c r="B98" i="1"/>
  <c r="C98" i="1" s="1"/>
  <c r="K97" i="1"/>
  <c r="I97" i="1"/>
  <c r="G97" i="1"/>
  <c r="E97" i="1"/>
  <c r="B97" i="1"/>
  <c r="C97" i="1" s="1"/>
  <c r="K96" i="1"/>
  <c r="I96" i="1"/>
  <c r="G96" i="1"/>
  <c r="E96" i="1"/>
  <c r="B96" i="1"/>
  <c r="C96" i="1" s="1"/>
  <c r="K95" i="1"/>
  <c r="I95" i="1"/>
  <c r="G95" i="1"/>
  <c r="E95" i="1"/>
  <c r="C95" i="1"/>
  <c r="B95" i="1"/>
  <c r="K94" i="1"/>
  <c r="I94" i="1"/>
  <c r="G94" i="1"/>
  <c r="E94" i="1"/>
  <c r="B94" i="1"/>
  <c r="C94" i="1" s="1"/>
  <c r="K93" i="1"/>
  <c r="I93" i="1"/>
  <c r="G93" i="1"/>
  <c r="E93" i="1"/>
  <c r="B93" i="1"/>
  <c r="C93" i="1" s="1"/>
  <c r="K92" i="1"/>
  <c r="I92" i="1"/>
  <c r="G92" i="1"/>
  <c r="E92" i="1"/>
  <c r="B92" i="1"/>
  <c r="C92" i="1" s="1"/>
  <c r="K91" i="1"/>
  <c r="I91" i="1"/>
  <c r="G91" i="1"/>
  <c r="E91" i="1"/>
  <c r="C91" i="1"/>
  <c r="B91" i="1"/>
  <c r="K90" i="1"/>
  <c r="I90" i="1"/>
  <c r="G90" i="1"/>
  <c r="E90" i="1"/>
  <c r="C90" i="1"/>
  <c r="B90" i="1"/>
  <c r="K89" i="1"/>
  <c r="I89" i="1"/>
  <c r="G89" i="1"/>
  <c r="E89" i="1"/>
  <c r="C89" i="1"/>
  <c r="B89" i="1"/>
  <c r="K88" i="1"/>
  <c r="I88" i="1"/>
  <c r="G88" i="1"/>
  <c r="E88" i="1"/>
  <c r="B88" i="1"/>
  <c r="C88" i="1" s="1"/>
  <c r="K87" i="1"/>
  <c r="I87" i="1"/>
  <c r="G87" i="1"/>
  <c r="E87" i="1"/>
  <c r="B87" i="1"/>
  <c r="C87" i="1" s="1"/>
  <c r="K86" i="1"/>
  <c r="I86" i="1"/>
  <c r="G86" i="1"/>
  <c r="E86" i="1"/>
  <c r="B86" i="1"/>
  <c r="C86" i="1" s="1"/>
  <c r="K85" i="1"/>
  <c r="I85" i="1"/>
  <c r="G85" i="1"/>
  <c r="E85" i="1"/>
  <c r="C85" i="1"/>
  <c r="B85" i="1"/>
  <c r="K84" i="1"/>
  <c r="I84" i="1"/>
  <c r="G84" i="1"/>
  <c r="E84" i="1"/>
  <c r="B84" i="1"/>
  <c r="C84" i="1" s="1"/>
  <c r="K83" i="1"/>
  <c r="I83" i="1"/>
  <c r="G83" i="1"/>
  <c r="E83" i="1"/>
  <c r="B83" i="1"/>
  <c r="C83" i="1" s="1"/>
  <c r="K82" i="1"/>
  <c r="I82" i="1"/>
  <c r="G82" i="1"/>
  <c r="E82" i="1"/>
  <c r="B82" i="1"/>
  <c r="C82" i="1" s="1"/>
  <c r="K81" i="1"/>
  <c r="I81" i="1"/>
  <c r="G81" i="1"/>
  <c r="E81" i="1"/>
  <c r="C81" i="1"/>
  <c r="B81" i="1"/>
  <c r="K80" i="1"/>
  <c r="I80" i="1"/>
  <c r="G80" i="1"/>
  <c r="E80" i="1"/>
  <c r="C80" i="1"/>
  <c r="B80" i="1"/>
  <c r="K79" i="1"/>
  <c r="I79" i="1"/>
  <c r="G79" i="1"/>
  <c r="E79" i="1"/>
  <c r="C79" i="1"/>
  <c r="B79" i="1"/>
  <c r="K78" i="1"/>
  <c r="I78" i="1"/>
  <c r="G78" i="1"/>
  <c r="E78" i="1"/>
  <c r="B78" i="1"/>
  <c r="C78" i="1" s="1"/>
  <c r="K77" i="1"/>
  <c r="I77" i="1"/>
  <c r="G77" i="1"/>
  <c r="E77" i="1"/>
  <c r="B77" i="1"/>
  <c r="C77" i="1" s="1"/>
  <c r="K76" i="1"/>
  <c r="I76" i="1"/>
  <c r="G76" i="1"/>
  <c r="E76" i="1"/>
  <c r="B76" i="1"/>
  <c r="C76" i="1" s="1"/>
  <c r="K75" i="1"/>
  <c r="I75" i="1"/>
  <c r="G75" i="1"/>
  <c r="E75" i="1"/>
  <c r="C75" i="1"/>
  <c r="B75" i="1"/>
  <c r="K74" i="1"/>
  <c r="I74" i="1"/>
  <c r="G74" i="1"/>
  <c r="E74" i="1"/>
  <c r="B74" i="1"/>
  <c r="C74" i="1" s="1"/>
  <c r="K73" i="1"/>
  <c r="I73" i="1"/>
  <c r="G73" i="1"/>
  <c r="E73" i="1"/>
  <c r="B73" i="1"/>
  <c r="C73" i="1" s="1"/>
  <c r="K72" i="1"/>
  <c r="I72" i="1"/>
  <c r="G72" i="1"/>
  <c r="E72" i="1"/>
  <c r="B72" i="1"/>
  <c r="C72" i="1" s="1"/>
  <c r="K71" i="1"/>
  <c r="I71" i="1"/>
  <c r="G71" i="1"/>
  <c r="E71" i="1"/>
  <c r="C71" i="1"/>
  <c r="B71" i="1"/>
  <c r="K70" i="1"/>
  <c r="I70" i="1"/>
  <c r="G70" i="1"/>
  <c r="E70" i="1"/>
  <c r="C70" i="1"/>
  <c r="B70" i="1"/>
  <c r="K69" i="1"/>
  <c r="I69" i="1"/>
  <c r="G69" i="1"/>
  <c r="E69" i="1"/>
  <c r="C69" i="1"/>
  <c r="B69" i="1"/>
  <c r="K68" i="1"/>
  <c r="I68" i="1"/>
  <c r="G68" i="1"/>
  <c r="E68" i="1"/>
  <c r="B68" i="1"/>
  <c r="C68" i="1" s="1"/>
  <c r="K67" i="1"/>
  <c r="I67" i="1"/>
  <c r="G67" i="1"/>
  <c r="E67" i="1"/>
  <c r="B67" i="1"/>
  <c r="C67" i="1" s="1"/>
  <c r="K66" i="1"/>
  <c r="I66" i="1"/>
  <c r="G66" i="1"/>
  <c r="E66" i="1"/>
  <c r="B66" i="1"/>
  <c r="C66" i="1" s="1"/>
  <c r="K65" i="1"/>
  <c r="I65" i="1"/>
  <c r="G65" i="1"/>
  <c r="E65" i="1"/>
  <c r="C65" i="1"/>
  <c r="B65" i="1"/>
  <c r="K64" i="1"/>
  <c r="I64" i="1"/>
  <c r="G64" i="1"/>
  <c r="E64" i="1"/>
  <c r="B64" i="1"/>
  <c r="C64" i="1" s="1"/>
  <c r="K63" i="1"/>
  <c r="I63" i="1"/>
  <c r="G63" i="1"/>
  <c r="E63" i="1"/>
  <c r="B63" i="1"/>
  <c r="C63" i="1" s="1"/>
  <c r="K62" i="1"/>
  <c r="I62" i="1"/>
  <c r="G62" i="1"/>
  <c r="E62" i="1"/>
  <c r="B62" i="1"/>
  <c r="C62" i="1" s="1"/>
  <c r="K61" i="1"/>
  <c r="I61" i="1"/>
  <c r="G61" i="1"/>
  <c r="E61" i="1"/>
  <c r="C61" i="1"/>
  <c r="B61" i="1"/>
  <c r="K60" i="1"/>
  <c r="I60" i="1"/>
  <c r="G60" i="1"/>
  <c r="E60" i="1"/>
  <c r="C60" i="1"/>
  <c r="B60" i="1"/>
  <c r="K59" i="1"/>
  <c r="I59" i="1"/>
  <c r="G59" i="1"/>
  <c r="E59" i="1"/>
  <c r="C59" i="1"/>
  <c r="B59" i="1"/>
  <c r="K58" i="1"/>
  <c r="I58" i="1"/>
  <c r="G58" i="1"/>
  <c r="E58" i="1"/>
  <c r="B58" i="1"/>
  <c r="C58" i="1" s="1"/>
  <c r="K57" i="1"/>
  <c r="I57" i="1"/>
  <c r="G57" i="1"/>
  <c r="E57" i="1"/>
  <c r="B57" i="1"/>
  <c r="C57" i="1" s="1"/>
  <c r="K56" i="1"/>
  <c r="I56" i="1"/>
  <c r="G56" i="1"/>
  <c r="E56" i="1"/>
  <c r="B56" i="1"/>
  <c r="C56" i="1" s="1"/>
  <c r="K55" i="1"/>
  <c r="I55" i="1"/>
  <c r="G55" i="1"/>
  <c r="E55" i="1"/>
  <c r="C55" i="1"/>
  <c r="B55" i="1"/>
  <c r="K54" i="1"/>
  <c r="I54" i="1"/>
  <c r="G54" i="1"/>
  <c r="E54" i="1"/>
  <c r="B54" i="1"/>
  <c r="C54" i="1" s="1"/>
  <c r="K53" i="1"/>
  <c r="I53" i="1"/>
  <c r="G53" i="1"/>
  <c r="E53" i="1"/>
  <c r="B53" i="1"/>
  <c r="C53" i="1" s="1"/>
  <c r="K52" i="1"/>
  <c r="I52" i="1"/>
  <c r="G52" i="1"/>
  <c r="E52" i="1"/>
  <c r="B52" i="1"/>
  <c r="C52" i="1" s="1"/>
  <c r="K51" i="1"/>
  <c r="I51" i="1"/>
  <c r="G51" i="1"/>
  <c r="E51" i="1"/>
  <c r="C51" i="1"/>
  <c r="B51" i="1"/>
  <c r="K50" i="1"/>
  <c r="I50" i="1"/>
  <c r="G50" i="1"/>
  <c r="E50" i="1"/>
  <c r="C50" i="1"/>
  <c r="B50" i="1"/>
  <c r="K49" i="1"/>
  <c r="I49" i="1"/>
  <c r="G49" i="1"/>
  <c r="E49" i="1"/>
  <c r="C49" i="1"/>
  <c r="B49" i="1"/>
  <c r="K48" i="1"/>
  <c r="I48" i="1"/>
  <c r="G48" i="1"/>
  <c r="E48" i="1"/>
  <c r="B48" i="1"/>
  <c r="C48" i="1" s="1"/>
  <c r="K47" i="1"/>
  <c r="I47" i="1"/>
  <c r="G47" i="1"/>
  <c r="E47" i="1"/>
  <c r="B47" i="1"/>
  <c r="C47" i="1" s="1"/>
  <c r="K46" i="1"/>
  <c r="I46" i="1"/>
  <c r="G46" i="1"/>
  <c r="E46" i="1"/>
  <c r="B46" i="1"/>
  <c r="C46" i="1" s="1"/>
  <c r="K45" i="1"/>
  <c r="I45" i="1"/>
  <c r="G45" i="1"/>
  <c r="E45" i="1"/>
  <c r="C45" i="1"/>
  <c r="B45" i="1"/>
  <c r="K44" i="1"/>
  <c r="I44" i="1"/>
  <c r="G44" i="1"/>
  <c r="E44" i="1"/>
  <c r="B44" i="1"/>
  <c r="C44" i="1" s="1"/>
  <c r="K43" i="1"/>
  <c r="I43" i="1"/>
  <c r="G43" i="1"/>
  <c r="E43" i="1"/>
  <c r="B43" i="1"/>
  <c r="C43" i="1" s="1"/>
  <c r="K42" i="1"/>
  <c r="I42" i="1"/>
  <c r="G42" i="1"/>
  <c r="E42" i="1"/>
  <c r="B42" i="1"/>
  <c r="C42" i="1" s="1"/>
  <c r="K41" i="1"/>
  <c r="I41" i="1"/>
  <c r="G41" i="1"/>
  <c r="E41" i="1"/>
  <c r="C41" i="1"/>
  <c r="B41" i="1"/>
  <c r="K40" i="1"/>
  <c r="I40" i="1"/>
  <c r="G40" i="1"/>
  <c r="E40" i="1"/>
  <c r="C40" i="1"/>
  <c r="B40" i="1"/>
  <c r="K39" i="1"/>
  <c r="I39" i="1"/>
  <c r="G39" i="1"/>
  <c r="E39" i="1"/>
  <c r="C39" i="1"/>
  <c r="B39" i="1"/>
  <c r="K38" i="1"/>
  <c r="I38" i="1"/>
  <c r="G38" i="1"/>
  <c r="E38" i="1"/>
  <c r="B38" i="1"/>
  <c r="C38" i="1" s="1"/>
  <c r="K37" i="1"/>
  <c r="I37" i="1"/>
  <c r="G37" i="1"/>
  <c r="E37" i="1"/>
  <c r="B37" i="1"/>
  <c r="C37" i="1" s="1"/>
  <c r="K36" i="1"/>
  <c r="I36" i="1"/>
  <c r="G36" i="1"/>
  <c r="E36" i="1"/>
  <c r="B36" i="1"/>
  <c r="C36" i="1" s="1"/>
  <c r="K35" i="1"/>
  <c r="I35" i="1"/>
  <c r="G35" i="1"/>
  <c r="E35" i="1"/>
  <c r="C35" i="1"/>
  <c r="B35" i="1"/>
  <c r="K34" i="1"/>
  <c r="I34" i="1"/>
  <c r="G34" i="1"/>
  <c r="E34" i="1"/>
  <c r="B34" i="1"/>
  <c r="C34" i="1" s="1"/>
  <c r="K33" i="1"/>
  <c r="I33" i="1"/>
  <c r="G33" i="1"/>
  <c r="E33" i="1"/>
  <c r="B33" i="1"/>
  <c r="C33" i="1" s="1"/>
  <c r="K32" i="1"/>
  <c r="I32" i="1"/>
  <c r="G32" i="1"/>
  <c r="E32" i="1"/>
  <c r="B32" i="1"/>
  <c r="C32" i="1" s="1"/>
  <c r="K31" i="1"/>
  <c r="I31" i="1"/>
  <c r="G31" i="1"/>
  <c r="E31" i="1"/>
  <c r="C31" i="1"/>
  <c r="B31" i="1"/>
  <c r="K30" i="1"/>
  <c r="I30" i="1"/>
  <c r="G30" i="1"/>
  <c r="E30" i="1"/>
  <c r="C30" i="1"/>
  <c r="B30" i="1"/>
  <c r="K29" i="1"/>
  <c r="I29" i="1"/>
  <c r="G29" i="1"/>
  <c r="E29" i="1"/>
  <c r="C29" i="1"/>
  <c r="B29" i="1"/>
  <c r="K28" i="1"/>
  <c r="I28" i="1"/>
  <c r="G28" i="1"/>
  <c r="E28" i="1"/>
  <c r="B28" i="1"/>
  <c r="C28" i="1" s="1"/>
  <c r="K27" i="1"/>
  <c r="I27" i="1"/>
  <c r="G27" i="1"/>
  <c r="E27" i="1"/>
  <c r="B27" i="1"/>
  <c r="C27" i="1" s="1"/>
  <c r="K26" i="1"/>
  <c r="I26" i="1"/>
  <c r="G26" i="1"/>
  <c r="E26" i="1"/>
  <c r="B26" i="1"/>
  <c r="C26" i="1" s="1"/>
  <c r="K25" i="1"/>
  <c r="I25" i="1"/>
  <c r="G25" i="1"/>
  <c r="E25" i="1"/>
  <c r="C25" i="1"/>
  <c r="B25" i="1"/>
  <c r="K24" i="1"/>
  <c r="I24" i="1"/>
  <c r="G24" i="1"/>
  <c r="E24" i="1"/>
  <c r="B24" i="1"/>
  <c r="C24" i="1" s="1"/>
  <c r="K23" i="1"/>
  <c r="I23" i="1"/>
  <c r="G23" i="1"/>
  <c r="E23" i="1"/>
  <c r="B23" i="1"/>
  <c r="C23" i="1" s="1"/>
  <c r="K22" i="1"/>
  <c r="I22" i="1"/>
  <c r="G22" i="1"/>
  <c r="E22" i="1"/>
  <c r="B22" i="1"/>
  <c r="C22" i="1" s="1"/>
  <c r="K21" i="1"/>
  <c r="I21" i="1"/>
  <c r="G21" i="1"/>
  <c r="E21" i="1"/>
  <c r="C21" i="1"/>
  <c r="B21" i="1"/>
  <c r="K20" i="1"/>
  <c r="I20" i="1"/>
  <c r="G20" i="1"/>
  <c r="E20" i="1"/>
  <c r="C20" i="1"/>
  <c r="B20" i="1"/>
  <c r="K19" i="1"/>
  <c r="I19" i="1"/>
  <c r="G19" i="1"/>
  <c r="E19" i="1"/>
  <c r="C19" i="1"/>
  <c r="B19" i="1"/>
  <c r="K18" i="1"/>
  <c r="I18" i="1"/>
  <c r="G18" i="1"/>
  <c r="E18" i="1"/>
  <c r="B18" i="1"/>
  <c r="C18" i="1" s="1"/>
  <c r="K17" i="1"/>
  <c r="I17" i="1"/>
  <c r="G17" i="1"/>
  <c r="E17" i="1"/>
  <c r="B17" i="1"/>
  <c r="C17" i="1" s="1"/>
  <c r="K16" i="1"/>
  <c r="I16" i="1"/>
  <c r="G16" i="1"/>
  <c r="E16" i="1"/>
  <c r="B16" i="1"/>
  <c r="C16" i="1" s="1"/>
  <c r="K15" i="1"/>
  <c r="I15" i="1"/>
  <c r="G15" i="1"/>
  <c r="E15" i="1"/>
  <c r="C15" i="1"/>
  <c r="B15" i="1"/>
  <c r="K14" i="1"/>
  <c r="I14" i="1"/>
  <c r="G14" i="1"/>
  <c r="E14" i="1"/>
  <c r="B14" i="1"/>
  <c r="C14" i="1" s="1"/>
  <c r="K13" i="1"/>
  <c r="I13" i="1"/>
  <c r="G13" i="1"/>
  <c r="E13" i="1"/>
  <c r="B13" i="1"/>
  <c r="C13" i="1" s="1"/>
  <c r="K12" i="1"/>
  <c r="I12" i="1"/>
  <c r="G12" i="1"/>
  <c r="E12" i="1"/>
  <c r="B12" i="1"/>
  <c r="C12" i="1" s="1"/>
  <c r="K11" i="1"/>
  <c r="I11" i="1"/>
  <c r="G11" i="1"/>
  <c r="E11" i="1"/>
  <c r="C11" i="1"/>
  <c r="B11" i="1"/>
  <c r="K10" i="1"/>
  <c r="I10" i="1"/>
  <c r="G10" i="1"/>
  <c r="E10" i="1"/>
  <c r="C10" i="1"/>
  <c r="B10" i="1"/>
  <c r="K9" i="1"/>
  <c r="I9" i="1"/>
  <c r="G9" i="1"/>
  <c r="E9" i="1"/>
  <c r="C9" i="1"/>
  <c r="B9" i="1"/>
  <c r="K8" i="1"/>
  <c r="I8" i="1"/>
  <c r="G8" i="1"/>
  <c r="E8" i="1"/>
  <c r="B8" i="1"/>
  <c r="C8" i="1" s="1"/>
  <c r="K7" i="1"/>
  <c r="I7" i="1"/>
  <c r="G7" i="1"/>
  <c r="E7" i="1"/>
  <c r="B7" i="1"/>
  <c r="C7" i="1" s="1"/>
  <c r="K6" i="1"/>
  <c r="I6" i="1"/>
  <c r="G6" i="1"/>
  <c r="E6" i="1"/>
  <c r="B6" i="1"/>
  <c r="C6" i="1" s="1"/>
  <c r="K5" i="1"/>
  <c r="I5" i="1"/>
  <c r="G5" i="1"/>
  <c r="E5" i="1"/>
  <c r="C5" i="1"/>
  <c r="B5" i="1"/>
  <c r="K4" i="1"/>
  <c r="I4" i="1"/>
  <c r="G4" i="1"/>
  <c r="E4" i="1"/>
  <c r="B4" i="1"/>
  <c r="C4" i="1" s="1"/>
  <c r="K3" i="1"/>
  <c r="I3" i="1"/>
  <c r="G3" i="1"/>
  <c r="E3" i="1"/>
  <c r="B3" i="1"/>
  <c r="C3" i="1" s="1"/>
  <c r="M4" i="10" l="1"/>
  <c r="C4" i="5"/>
  <c r="C6" i="5"/>
  <c r="C5" i="5"/>
  <c r="B4" i="8"/>
  <c r="G4" i="6"/>
  <c r="C8" i="5"/>
  <c r="C9" i="5"/>
  <c r="C7" i="5"/>
  <c r="E12" i="5" a="1"/>
  <c r="E12" i="5" s="1"/>
  <c r="E76" i="5" s="1"/>
  <c r="F12" i="5" a="1"/>
  <c r="F12" i="5" s="1"/>
  <c r="F78" i="5" s="1"/>
  <c r="B6" i="8"/>
  <c r="G12" i="5" a="1"/>
  <c r="G12" i="5" s="1"/>
  <c r="G78" i="5" s="1"/>
  <c r="H12" i="5" a="1"/>
  <c r="H12" i="5" s="1"/>
  <c r="H71" i="5" s="1"/>
  <c r="C4" i="8"/>
  <c r="B9" i="8"/>
  <c r="D4" i="8"/>
  <c r="B5" i="8"/>
  <c r="E4" i="8"/>
  <c r="B12" i="5" a="1"/>
  <c r="B12" i="5" s="1"/>
  <c r="B85" i="5" s="1"/>
  <c r="B148" i="5" s="1"/>
  <c r="G4" i="7"/>
  <c r="F4" i="8"/>
  <c r="B7" i="8"/>
  <c r="C12" i="5" a="1"/>
  <c r="C12" i="5" s="1"/>
  <c r="C68" i="5" s="1"/>
  <c r="G4" i="8"/>
  <c r="B8" i="8"/>
  <c r="C3" i="5"/>
  <c r="D12" i="5" a="1"/>
  <c r="D12" i="5" s="1"/>
  <c r="D76" i="5" s="1"/>
  <c r="F68" i="5" l="1"/>
  <c r="F75" i="5"/>
  <c r="F67" i="5"/>
  <c r="G77" i="5"/>
  <c r="G86" i="5"/>
  <c r="F86" i="5"/>
  <c r="G70" i="5"/>
  <c r="F70" i="5"/>
  <c r="F71" i="5"/>
  <c r="G67" i="5"/>
  <c r="E69" i="5"/>
  <c r="E85" i="5"/>
  <c r="E148" i="5" s="1"/>
  <c r="E77" i="5"/>
  <c r="E78" i="5"/>
  <c r="E70" i="5"/>
  <c r="E71" i="5"/>
  <c r="E67" i="5"/>
  <c r="E75" i="5"/>
  <c r="E74" i="5"/>
  <c r="F69" i="5"/>
  <c r="E68" i="5"/>
  <c r="G85" i="5"/>
  <c r="G148" i="5" s="1"/>
  <c r="F76" i="5"/>
  <c r="G74" i="5"/>
  <c r="G69" i="5"/>
  <c r="G75" i="5"/>
  <c r="F85" i="5"/>
  <c r="F148" i="5" s="1"/>
  <c r="H76" i="5"/>
  <c r="C75" i="5"/>
  <c r="G76" i="5"/>
  <c r="C86" i="5"/>
  <c r="C87" i="5" s="1"/>
  <c r="H69" i="5"/>
  <c r="D70" i="5"/>
  <c r="D74" i="5"/>
  <c r="H77" i="5"/>
  <c r="H78" i="5"/>
  <c r="H86" i="5"/>
  <c r="H85" i="5"/>
  <c r="H148" i="5" s="1"/>
  <c r="B78" i="5"/>
  <c r="D69" i="5"/>
  <c r="D75" i="5"/>
  <c r="C70" i="5"/>
  <c r="B67" i="5"/>
  <c r="C76" i="5"/>
  <c r="B77" i="5"/>
  <c r="B86" i="5"/>
  <c r="C77" i="5"/>
  <c r="B71" i="5"/>
  <c r="B68" i="5"/>
  <c r="C78" i="5"/>
  <c r="D85" i="5"/>
  <c r="D148" i="5" s="1"/>
  <c r="B70" i="5"/>
  <c r="G71" i="5"/>
  <c r="F74" i="5"/>
  <c r="H67" i="5"/>
  <c r="C71" i="5"/>
  <c r="G68" i="5"/>
  <c r="G88" i="5" s="1"/>
  <c r="B75" i="5"/>
  <c r="F77" i="5"/>
  <c r="F79" i="5" s="1"/>
  <c r="F80" i="5" s="1"/>
  <c r="F82" i="5" s="1"/>
  <c r="E86" i="5"/>
  <c r="E87" i="5" s="1"/>
  <c r="H75" i="5"/>
  <c r="C69" i="5"/>
  <c r="C85" i="5"/>
  <c r="C148" i="5" s="1"/>
  <c r="H74" i="5"/>
  <c r="D78" i="5"/>
  <c r="C74" i="5"/>
  <c r="C67" i="5"/>
  <c r="D77" i="5"/>
  <c r="D79" i="5" s="1"/>
  <c r="D80" i="5" s="1"/>
  <c r="D82" i="5" s="1"/>
  <c r="D67" i="5"/>
  <c r="H70" i="5"/>
  <c r="D86" i="5"/>
  <c r="B76" i="5"/>
  <c r="D71" i="5"/>
  <c r="H68" i="5"/>
  <c r="B74" i="5"/>
  <c r="B69" i="5"/>
  <c r="D68" i="5"/>
  <c r="H88" i="5"/>
  <c r="H87" i="5"/>
  <c r="H93" i="5" s="1" a="1"/>
  <c r="H93" i="5" s="1"/>
  <c r="H149" i="5" s="1"/>
  <c r="F88" i="5"/>
  <c r="F87" i="5"/>
  <c r="F93" i="5" s="1" a="1"/>
  <c r="F93" i="5" s="1"/>
  <c r="F149" i="5" s="1"/>
  <c r="G87" i="5"/>
  <c r="E79" i="5"/>
  <c r="E80" i="5" s="1"/>
  <c r="E82" i="5" s="1"/>
  <c r="G79" i="5"/>
  <c r="G80" i="5" s="1"/>
  <c r="G81" i="5" s="1"/>
  <c r="D87" i="5" l="1"/>
  <c r="H79" i="5"/>
  <c r="H80" i="5" s="1"/>
  <c r="H81" i="5" s="1"/>
  <c r="B87" i="5"/>
  <c r="D88" i="5"/>
  <c r="C79" i="5"/>
  <c r="C80" i="5" s="1"/>
  <c r="C81" i="5" s="1"/>
  <c r="B79" i="5"/>
  <c r="B80" i="5" s="1"/>
  <c r="B82" i="5" s="1"/>
  <c r="B88" i="5"/>
  <c r="C93" i="5" a="1"/>
  <c r="C93" i="5" s="1"/>
  <c r="C149" i="5" s="1"/>
  <c r="C88" i="5"/>
  <c r="D93" i="5" a="1"/>
  <c r="D93" i="5" s="1"/>
  <c r="D149" i="5" s="1"/>
  <c r="G93" i="5" a="1"/>
  <c r="G93" i="5" s="1"/>
  <c r="G149" i="5" s="1"/>
  <c r="E88" i="5"/>
  <c r="E93" i="5" s="1" a="1"/>
  <c r="E93" i="5" s="1"/>
  <c r="E149" i="5" s="1"/>
  <c r="B93" i="5" a="1"/>
  <c r="B93" i="5" s="1"/>
  <c r="B149" i="5" s="1"/>
  <c r="H82" i="5"/>
  <c r="G82" i="5"/>
  <c r="E81" i="5"/>
  <c r="D81" i="5"/>
  <c r="F81" i="5"/>
  <c r="C82" i="5" l="1"/>
  <c r="B8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<sst xmlns="http://schemas.openxmlformats.org/spreadsheetml/2006/main" count="159" uniqueCount="82">
  <si>
    <t>表1</t>
  </si>
  <si>
    <t>商品1曜日掛け率</t>
  </si>
  <si>
    <t>平均気温(℃)</t>
  </si>
  <si>
    <t>気温偏差値</t>
  </si>
  <si>
    <t>最高気温(℃)</t>
  </si>
  <si>
    <t>最高気温(℃)偏差値</t>
  </si>
  <si>
    <t>最低気温(℃)</t>
  </si>
  <si>
    <t>最低気温(℃)偏差値</t>
  </si>
  <si>
    <t>降水量の合計(mm)</t>
  </si>
  <si>
    <t>降水量の合計(mm)偏差値</t>
  </si>
  <si>
    <t>売上個数</t>
  </si>
  <si>
    <t>曜日</t>
    <rPh sb="0" eb="2">
      <t xml:space="preserve">ヨウビ </t>
    </rPh>
    <phoneticPr fontId="4"/>
  </si>
  <si>
    <t>曜日 1:日 2:月 3:火 4:水 5:木 6:金 7:土</t>
    <rPh sb="0" eb="2">
      <t xml:space="preserve">ヨウビ </t>
    </rPh>
    <rPh sb="5" eb="6">
      <t xml:space="preserve">ニチ </t>
    </rPh>
    <rPh sb="9" eb="10">
      <t xml:space="preserve">ツキ </t>
    </rPh>
    <rPh sb="13" eb="14">
      <t xml:space="preserve">カ </t>
    </rPh>
    <rPh sb="17" eb="18">
      <t xml:space="preserve">ミズ </t>
    </rPh>
    <rPh sb="21" eb="22">
      <t xml:space="preserve">モク </t>
    </rPh>
    <rPh sb="25" eb="26">
      <t xml:space="preserve">キン </t>
    </rPh>
    <rPh sb="29" eb="30">
      <t xml:space="preserve">ツチ </t>
    </rPh>
    <phoneticPr fontId="4"/>
  </si>
  <si>
    <t>日曜日</t>
    <rPh sb="0" eb="3">
      <t xml:space="preserve">ニチヨウビ </t>
    </rPh>
    <phoneticPr fontId="4"/>
  </si>
  <si>
    <t>月曜日</t>
  </si>
  <si>
    <t>火曜日</t>
  </si>
  <si>
    <t>水曜日</t>
  </si>
  <si>
    <t>木曜日</t>
  </si>
  <si>
    <t>金曜日</t>
  </si>
  <si>
    <t>土曜日</t>
  </si>
  <si>
    <t>平均値</t>
    <rPh sb="0" eb="3">
      <t xml:space="preserve">ヘイキンチ </t>
    </rPh>
    <phoneticPr fontId="4"/>
  </si>
  <si>
    <t>中央値</t>
    <rPh sb="0" eb="3">
      <t xml:space="preserve">チュウオウチ </t>
    </rPh>
    <phoneticPr fontId="4"/>
  </si>
  <si>
    <t>第一四分位数</t>
    <rPh sb="0" eb="6">
      <t xml:space="preserve">ダイイチシブンイスウ </t>
    </rPh>
    <phoneticPr fontId="4"/>
  </si>
  <si>
    <t>第三四分位数</t>
    <rPh sb="0" eb="6">
      <t xml:space="preserve">ダイイチシブンイスウ </t>
    </rPh>
    <phoneticPr fontId="4"/>
  </si>
  <si>
    <t>最大値</t>
    <rPh sb="0" eb="2">
      <t xml:space="preserve">サイダイ </t>
    </rPh>
    <rPh sb="2" eb="3">
      <t xml:space="preserve">アタイ </t>
    </rPh>
    <phoneticPr fontId="4"/>
  </si>
  <si>
    <t>最小値</t>
    <rPh sb="0" eb="1">
      <t xml:space="preserve">サイショウチ </t>
    </rPh>
    <phoneticPr fontId="4"/>
  </si>
  <si>
    <t>個数</t>
    <rPh sb="0" eb="2">
      <t xml:space="preserve">コスウ </t>
    </rPh>
    <phoneticPr fontId="4"/>
  </si>
  <si>
    <t>合計売上個数</t>
    <rPh sb="0" eb="6">
      <t xml:space="preserve">ゴウケイコスウ </t>
    </rPh>
    <phoneticPr fontId="4"/>
  </si>
  <si>
    <t>第二四分位数</t>
    <rPh sb="0" eb="6">
      <t xml:space="preserve">ダイイチシブンイスウ </t>
    </rPh>
    <phoneticPr fontId="4"/>
  </si>
  <si>
    <t>第四四分位数</t>
    <rPh sb="0" eb="6">
      <t xml:space="preserve">ダイイチシブンイスウ </t>
    </rPh>
    <phoneticPr fontId="4"/>
  </si>
  <si>
    <t>第0四分位数</t>
    <rPh sb="0" eb="6">
      <t xml:space="preserve">ダイイチシブンイスウ </t>
    </rPh>
    <phoneticPr fontId="4"/>
  </si>
  <si>
    <t>分散</t>
    <rPh sb="0" eb="2">
      <t xml:space="preserve">ブンサン </t>
    </rPh>
    <phoneticPr fontId="4"/>
  </si>
  <si>
    <t>四分位範囲</t>
    <rPh sb="0" eb="5">
      <t xml:space="preserve">ダイイチシブンイスウ </t>
    </rPh>
    <phoneticPr fontId="4"/>
  </si>
  <si>
    <t>四分位偏差</t>
    <rPh sb="0" eb="5">
      <t xml:space="preserve">ダイイチシブンイスウ </t>
    </rPh>
    <phoneticPr fontId="4"/>
  </si>
  <si>
    <t>標準偏差</t>
    <rPh sb="0" eb="4">
      <t xml:space="preserve">ヒョウジュンヘンサ </t>
    </rPh>
    <phoneticPr fontId="4"/>
  </si>
  <si>
    <t>四分位偏差法・LCL（下限管理限界）</t>
    <phoneticPr fontId="4"/>
  </si>
  <si>
    <t>四分位偏差法・UCL（上限管理限界）</t>
    <phoneticPr fontId="4"/>
  </si>
  <si>
    <t>３シグマ法・LCL（下限管理限界）</t>
    <phoneticPr fontId="4"/>
  </si>
  <si>
    <t>３シグマ法・UCL（上限管理限界）</t>
    <phoneticPr fontId="4"/>
  </si>
  <si>
    <t>外れ値の排除</t>
    <rPh sb="0" eb="1">
      <t xml:space="preserve">ハズレチ </t>
    </rPh>
    <rPh sb="4" eb="6">
      <t xml:space="preserve">ハイジョ </t>
    </rPh>
    <phoneticPr fontId="4"/>
  </si>
  <si>
    <t>外れ値を排除した分散</t>
    <rPh sb="0" eb="1">
      <t xml:space="preserve">ハズレチ </t>
    </rPh>
    <rPh sb="4" eb="6">
      <t xml:space="preserve">ハイジョ </t>
    </rPh>
    <rPh sb="8" eb="10">
      <t xml:space="preserve">ブンサン </t>
    </rPh>
    <phoneticPr fontId="4"/>
  </si>
  <si>
    <t>全体の分散</t>
    <rPh sb="0" eb="2">
      <t xml:space="preserve">ゼンタイ </t>
    </rPh>
    <rPh sb="3" eb="5">
      <t xml:space="preserve">ブンサン </t>
    </rPh>
    <phoneticPr fontId="4"/>
  </si>
  <si>
    <t>相関係数</t>
    <rPh sb="0" eb="4">
      <t xml:space="preserve">ソウカンケイスウ </t>
    </rPh>
    <phoneticPr fontId="4"/>
  </si>
  <si>
    <t>降水量</t>
    <rPh sb="0" eb="3">
      <t xml:space="preserve">コウスイリョウ </t>
    </rPh>
    <phoneticPr fontId="4"/>
  </si>
  <si>
    <t xml:space="preserve">曜日 </t>
    <rPh sb="0" eb="2">
      <t xml:space="preserve">ヨウビ </t>
    </rPh>
    <phoneticPr fontId="4"/>
  </si>
  <si>
    <t>土日フラグ</t>
    <rPh sb="0" eb="2">
      <t xml:space="preserve">ドニチ </t>
    </rPh>
    <phoneticPr fontId="4"/>
  </si>
  <si>
    <t>日</t>
    <rPh sb="0" eb="1">
      <t xml:space="preserve">ヒ </t>
    </rPh>
    <phoneticPr fontId="4"/>
  </si>
  <si>
    <t>土日と売上の相関係数</t>
    <rPh sb="0" eb="2">
      <t xml:space="preserve">ドニチ </t>
    </rPh>
    <rPh sb="3" eb="5">
      <t xml:space="preserve">ウリアゲ </t>
    </rPh>
    <rPh sb="6" eb="10">
      <t xml:space="preserve">ソウカンケイスウ </t>
    </rPh>
    <phoneticPr fontId="4"/>
  </si>
  <si>
    <t>傾き</t>
    <rPh sb="0" eb="1">
      <t xml:space="preserve">カタムキ </t>
    </rPh>
    <phoneticPr fontId="4"/>
  </si>
  <si>
    <t>切片</t>
    <rPh sb="0" eb="2">
      <t xml:space="preserve">セッペン </t>
    </rPh>
    <phoneticPr fontId="4"/>
  </si>
  <si>
    <t>気温</t>
    <rPh sb="0" eb="2">
      <t xml:space="preserve">キオン </t>
    </rPh>
    <phoneticPr fontId="4"/>
  </si>
  <si>
    <t>予測数</t>
    <rPh sb="0" eb="3">
      <t xml:space="preserve">ヨソクスウ </t>
    </rPh>
    <phoneticPr fontId="4"/>
  </si>
  <si>
    <t>土日</t>
    <rPh sb="0" eb="2">
      <t xml:space="preserve">ドニチカ </t>
    </rPh>
    <phoneticPr fontId="4"/>
  </si>
  <si>
    <t>概要</t>
  </si>
  <si>
    <t>回帰統計</t>
  </si>
  <si>
    <t>重相関 R</t>
  </si>
  <si>
    <t>重決定 R2</t>
  </si>
  <si>
    <t>標準誤差</t>
  </si>
  <si>
    <t>観測数</t>
  </si>
  <si>
    <t>分散分析表</t>
  </si>
  <si>
    <t>回帰</t>
  </si>
  <si>
    <t>残差</t>
  </si>
  <si>
    <t>合計</t>
  </si>
  <si>
    <t>切片</t>
  </si>
  <si>
    <t>自由度</t>
  </si>
  <si>
    <t>変動</t>
  </si>
  <si>
    <t>分散</t>
  </si>
  <si>
    <t>観測された分散比</t>
  </si>
  <si>
    <t>有意 F</t>
  </si>
  <si>
    <t>係数</t>
  </si>
  <si>
    <t xml:space="preserve">t </t>
  </si>
  <si>
    <t>P-値</t>
  </si>
  <si>
    <t>下限 95%</t>
  </si>
  <si>
    <t>上限 95%</t>
  </si>
  <si>
    <t>下限 95.0%</t>
  </si>
  <si>
    <t>上限 95.0%</t>
  </si>
  <si>
    <t>土日</t>
  </si>
  <si>
    <t>重回帰予測</t>
    <rPh sb="0" eb="3">
      <t xml:space="preserve">ジュウカイキ </t>
    </rPh>
    <rPh sb="3" eb="5">
      <t xml:space="preserve">ヨソク </t>
    </rPh>
    <phoneticPr fontId="4"/>
  </si>
  <si>
    <t>誤差</t>
    <rPh sb="0" eb="2">
      <t xml:space="preserve">ゴサ </t>
    </rPh>
    <phoneticPr fontId="4"/>
  </si>
  <si>
    <t>平均予測誤差</t>
    <rPh sb="0" eb="2">
      <t xml:space="preserve">ヘイキン </t>
    </rPh>
    <rPh sb="2" eb="6">
      <t xml:space="preserve">ヨソクゴサ </t>
    </rPh>
    <phoneticPr fontId="4"/>
  </si>
  <si>
    <t>補正 R2</t>
    <phoneticPr fontId="4"/>
  </si>
  <si>
    <t>補正 R2（自由度調整済み決定係数）：1に近づくほど、XはYの決定に影響を与えているといえる。0.6-0.8くらいが理想。1だと単純すぎて分析する必要なし。</t>
    <rPh sb="2" eb="3">
      <t xml:space="preserve">チカヅク </t>
    </rPh>
    <rPh sb="15" eb="17">
      <t xml:space="preserve">ケッテイ </t>
    </rPh>
    <rPh sb="18" eb="20">
      <t xml:space="preserve">エイキョウ </t>
    </rPh>
    <rPh sb="21" eb="22">
      <t xml:space="preserve">アタエテイル </t>
    </rPh>
    <rPh sb="42" eb="44">
      <t xml:space="preserve">リソウ </t>
    </rPh>
    <rPh sb="48" eb="50">
      <t xml:space="preserve">タンジュン </t>
    </rPh>
    <rPh sb="53" eb="55">
      <t xml:space="preserve">ブンセキ </t>
    </rPh>
    <rPh sb="57" eb="59">
      <t xml:space="preserve">ヒツヨウ 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</si>
</sst>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indexed="8"/>
      <name val="ヒラギノ角ゴ ProN W3"/>
    </font>
    <font>
      <sz val="12"/>
      <color indexed="8"/>
      <name val="ヒラギノ角ゴ ProN W3"/>
      <family val="2"/>
      <charset val="128"/>
    </font>
    <font>
      <sz val="10"/>
      <color indexed="8"/>
      <name val="ヒラギノ角ゴ ProN W6"/>
      <family val="2"/>
      <charset val="128"/>
    </font>
    <font>
      <sz val="10"/>
      <color indexed="8"/>
      <name val="ヒラギノ角ゴ ProN W3"/>
      <family val="2"/>
      <charset val="128"/>
    </font>
    <font>
      <sz val="6"/>
      <name val="Kozuka Gothic Pro R"/>
      <family val="3"/>
      <charset val="128"/>
    </font>
    <font>
      <sz val="10"/>
      <color rgb="FF000000"/>
      <name val="ヒラギノ角ゴ ProN W3"/>
      <family val="2"/>
      <charset val="128"/>
    </font>
    <font>
      <sz val="10"/>
      <color rgb="FFFF0000"/>
      <name val="ヒラギノ角ゴ ProN W3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14" fontId="2" fillId="3" borderId="2" xfId="0" applyNumberFormat="1" applyFont="1" applyFill="1" applyBorder="1" applyAlignment="1">
      <alignment vertical="top" wrapText="1"/>
    </xf>
    <xf numFmtId="0" fontId="0" fillId="0" borderId="3" xfId="0" applyNumberFormat="1" applyFont="1" applyBorder="1" applyAlignment="1">
      <alignment vertical="top" wrapText="1"/>
    </xf>
    <xf numFmtId="0" fontId="0" fillId="0" borderId="4" xfId="0" applyNumberFormat="1" applyFont="1" applyBorder="1" applyAlignment="1">
      <alignment vertical="top" wrapText="1"/>
    </xf>
    <xf numFmtId="14" fontId="2" fillId="3" borderId="5" xfId="0" applyNumberFormat="1" applyFont="1" applyFill="1" applyBorder="1" applyAlignment="1">
      <alignment vertical="top" wrapText="1"/>
    </xf>
    <xf numFmtId="0" fontId="0" fillId="0" borderId="6" xfId="0" applyNumberFormat="1" applyFont="1" applyBorder="1" applyAlignment="1">
      <alignment vertical="top" wrapText="1"/>
    </xf>
    <xf numFmtId="0" fontId="0" fillId="0" borderId="7" xfId="0" applyNumberFormat="1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0" fillId="0" borderId="8" xfId="0" applyFont="1" applyBorder="1" applyAlignment="1">
      <alignment vertical="top" wrapText="1"/>
    </xf>
    <xf numFmtId="0" fontId="3" fillId="4" borderId="8" xfId="0" applyFont="1" applyFill="1" applyBorder="1" applyAlignment="1">
      <alignment vertical="top" wrapText="1"/>
    </xf>
    <xf numFmtId="0" fontId="3" fillId="4" borderId="9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14" fontId="0" fillId="0" borderId="0" xfId="0" applyNumberFormat="1" applyFont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14" fontId="0" fillId="4" borderId="8" xfId="0" applyNumberFormat="1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49" fontId="2" fillId="2" borderId="8" xfId="0" applyNumberFormat="1" applyFont="1" applyFill="1" applyBorder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2" fillId="2" borderId="13" xfId="0" applyFont="1" applyFill="1" applyBorder="1" applyAlignment="1">
      <alignment vertical="top" wrapText="1"/>
    </xf>
    <xf numFmtId="49" fontId="2" fillId="2" borderId="13" xfId="0" applyNumberFormat="1" applyFont="1" applyFill="1" applyBorder="1" applyAlignment="1">
      <alignment vertical="top" wrapText="1"/>
    </xf>
    <xf numFmtId="49" fontId="2" fillId="2" borderId="10" xfId="0" applyNumberFormat="1" applyFont="1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14" xfId="0" applyFill="1" applyBorder="1" applyAlignment="1">
      <alignment vertical="top" wrapText="1"/>
    </xf>
    <xf numFmtId="0" fontId="3" fillId="0" borderId="15" xfId="0" applyFont="1" applyFill="1" applyBorder="1" applyAlignment="1">
      <alignment horizontal="center" vertical="top" wrapText="1"/>
    </xf>
    <xf numFmtId="0" fontId="3" fillId="0" borderId="15" xfId="0" applyFont="1" applyFill="1" applyBorder="1" applyAlignment="1">
      <alignment horizontal="centerContinuous" vertical="top" wrapText="1"/>
    </xf>
    <xf numFmtId="0" fontId="3" fillId="5" borderId="15" xfId="0" applyFont="1" applyFill="1" applyBorder="1" applyAlignment="1">
      <alignment horizontal="center" vertical="top" wrapText="1"/>
    </xf>
    <xf numFmtId="0" fontId="0" fillId="5" borderId="0" xfId="0" applyFill="1" applyBorder="1" applyAlignment="1">
      <alignment vertical="top" wrapText="1"/>
    </xf>
    <xf numFmtId="0" fontId="0" fillId="5" borderId="14" xfId="0" applyFill="1" applyBorder="1" applyAlignment="1">
      <alignment vertical="top" wrapText="1"/>
    </xf>
    <xf numFmtId="0" fontId="3" fillId="6" borderId="15" xfId="0" applyFont="1" applyFill="1" applyBorder="1" applyAlignment="1">
      <alignment horizontal="center" vertical="top" wrapText="1"/>
    </xf>
    <xf numFmtId="0" fontId="0" fillId="6" borderId="0" xfId="0" applyFill="1" applyBorder="1" applyAlignment="1">
      <alignment vertical="top" wrapText="1"/>
    </xf>
    <xf numFmtId="0" fontId="0" fillId="6" borderId="14" xfId="0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3" fillId="6" borderId="0" xfId="0" applyFont="1" applyFill="1" applyBorder="1" applyAlignme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日別の売上個数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アイスクリームの売り上げデータ!$A$3:$A$367</c:f>
              <c:numCache>
                <c:formatCode>m/d/yy</c:formatCode>
                <c:ptCount val="365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  <c:pt idx="89">
                  <c:v>43555</c:v>
                </c:pt>
                <c:pt idx="90">
                  <c:v>43556</c:v>
                </c:pt>
                <c:pt idx="91">
                  <c:v>43557</c:v>
                </c:pt>
                <c:pt idx="92">
                  <c:v>43558</c:v>
                </c:pt>
                <c:pt idx="93">
                  <c:v>43559</c:v>
                </c:pt>
                <c:pt idx="94">
                  <c:v>43560</c:v>
                </c:pt>
                <c:pt idx="95">
                  <c:v>43561</c:v>
                </c:pt>
                <c:pt idx="96">
                  <c:v>43562</c:v>
                </c:pt>
                <c:pt idx="97">
                  <c:v>43563</c:v>
                </c:pt>
                <c:pt idx="98">
                  <c:v>43564</c:v>
                </c:pt>
                <c:pt idx="99">
                  <c:v>43565</c:v>
                </c:pt>
                <c:pt idx="100">
                  <c:v>43566</c:v>
                </c:pt>
                <c:pt idx="101">
                  <c:v>43567</c:v>
                </c:pt>
                <c:pt idx="102">
                  <c:v>43568</c:v>
                </c:pt>
                <c:pt idx="103">
                  <c:v>43569</c:v>
                </c:pt>
                <c:pt idx="104">
                  <c:v>43570</c:v>
                </c:pt>
                <c:pt idx="105">
                  <c:v>43571</c:v>
                </c:pt>
                <c:pt idx="106">
                  <c:v>43572</c:v>
                </c:pt>
                <c:pt idx="107">
                  <c:v>43573</c:v>
                </c:pt>
                <c:pt idx="108">
                  <c:v>43574</c:v>
                </c:pt>
                <c:pt idx="109">
                  <c:v>43575</c:v>
                </c:pt>
                <c:pt idx="110">
                  <c:v>43576</c:v>
                </c:pt>
                <c:pt idx="111">
                  <c:v>43577</c:v>
                </c:pt>
                <c:pt idx="112">
                  <c:v>43578</c:v>
                </c:pt>
                <c:pt idx="113">
                  <c:v>43579</c:v>
                </c:pt>
                <c:pt idx="114">
                  <c:v>43580</c:v>
                </c:pt>
                <c:pt idx="115">
                  <c:v>43581</c:v>
                </c:pt>
                <c:pt idx="116">
                  <c:v>43582</c:v>
                </c:pt>
                <c:pt idx="117">
                  <c:v>43583</c:v>
                </c:pt>
                <c:pt idx="118">
                  <c:v>43584</c:v>
                </c:pt>
                <c:pt idx="119">
                  <c:v>43585</c:v>
                </c:pt>
                <c:pt idx="120">
                  <c:v>43586</c:v>
                </c:pt>
                <c:pt idx="121">
                  <c:v>43587</c:v>
                </c:pt>
                <c:pt idx="122">
                  <c:v>43588</c:v>
                </c:pt>
                <c:pt idx="123">
                  <c:v>43589</c:v>
                </c:pt>
                <c:pt idx="124">
                  <c:v>43590</c:v>
                </c:pt>
                <c:pt idx="125">
                  <c:v>43591</c:v>
                </c:pt>
                <c:pt idx="126">
                  <c:v>43592</c:v>
                </c:pt>
                <c:pt idx="127">
                  <c:v>43593</c:v>
                </c:pt>
                <c:pt idx="128">
                  <c:v>43594</c:v>
                </c:pt>
                <c:pt idx="129">
                  <c:v>43595</c:v>
                </c:pt>
                <c:pt idx="130">
                  <c:v>43596</c:v>
                </c:pt>
                <c:pt idx="131">
                  <c:v>43597</c:v>
                </c:pt>
                <c:pt idx="132">
                  <c:v>43598</c:v>
                </c:pt>
                <c:pt idx="133">
                  <c:v>43599</c:v>
                </c:pt>
                <c:pt idx="134">
                  <c:v>43600</c:v>
                </c:pt>
                <c:pt idx="135">
                  <c:v>43601</c:v>
                </c:pt>
                <c:pt idx="136">
                  <c:v>43602</c:v>
                </c:pt>
                <c:pt idx="137">
                  <c:v>43603</c:v>
                </c:pt>
                <c:pt idx="138">
                  <c:v>43604</c:v>
                </c:pt>
                <c:pt idx="139">
                  <c:v>43605</c:v>
                </c:pt>
                <c:pt idx="140">
                  <c:v>43606</c:v>
                </c:pt>
                <c:pt idx="141">
                  <c:v>43607</c:v>
                </c:pt>
                <c:pt idx="142">
                  <c:v>43608</c:v>
                </c:pt>
                <c:pt idx="143">
                  <c:v>43609</c:v>
                </c:pt>
                <c:pt idx="144">
                  <c:v>43610</c:v>
                </c:pt>
                <c:pt idx="145">
                  <c:v>43611</c:v>
                </c:pt>
                <c:pt idx="146">
                  <c:v>43612</c:v>
                </c:pt>
                <c:pt idx="147">
                  <c:v>43613</c:v>
                </c:pt>
                <c:pt idx="148">
                  <c:v>43614</c:v>
                </c:pt>
                <c:pt idx="149">
                  <c:v>43615</c:v>
                </c:pt>
                <c:pt idx="150">
                  <c:v>43616</c:v>
                </c:pt>
                <c:pt idx="151">
                  <c:v>43617</c:v>
                </c:pt>
                <c:pt idx="152">
                  <c:v>43618</c:v>
                </c:pt>
                <c:pt idx="153">
                  <c:v>43619</c:v>
                </c:pt>
                <c:pt idx="154">
                  <c:v>43620</c:v>
                </c:pt>
                <c:pt idx="155">
                  <c:v>43621</c:v>
                </c:pt>
                <c:pt idx="156">
                  <c:v>43622</c:v>
                </c:pt>
                <c:pt idx="157">
                  <c:v>43623</c:v>
                </c:pt>
                <c:pt idx="158">
                  <c:v>43624</c:v>
                </c:pt>
                <c:pt idx="159">
                  <c:v>43625</c:v>
                </c:pt>
                <c:pt idx="160">
                  <c:v>43626</c:v>
                </c:pt>
                <c:pt idx="161">
                  <c:v>43627</c:v>
                </c:pt>
                <c:pt idx="162">
                  <c:v>43628</c:v>
                </c:pt>
                <c:pt idx="163">
                  <c:v>43629</c:v>
                </c:pt>
                <c:pt idx="164">
                  <c:v>43630</c:v>
                </c:pt>
                <c:pt idx="165">
                  <c:v>43631</c:v>
                </c:pt>
                <c:pt idx="166">
                  <c:v>43632</c:v>
                </c:pt>
                <c:pt idx="167">
                  <c:v>43633</c:v>
                </c:pt>
                <c:pt idx="168">
                  <c:v>43634</c:v>
                </c:pt>
                <c:pt idx="169">
                  <c:v>43635</c:v>
                </c:pt>
                <c:pt idx="170">
                  <c:v>43636</c:v>
                </c:pt>
                <c:pt idx="171">
                  <c:v>43637</c:v>
                </c:pt>
                <c:pt idx="172">
                  <c:v>43638</c:v>
                </c:pt>
                <c:pt idx="173">
                  <c:v>43639</c:v>
                </c:pt>
                <c:pt idx="174">
                  <c:v>43640</c:v>
                </c:pt>
                <c:pt idx="175">
                  <c:v>43641</c:v>
                </c:pt>
                <c:pt idx="176">
                  <c:v>43642</c:v>
                </c:pt>
                <c:pt idx="177">
                  <c:v>43643</c:v>
                </c:pt>
                <c:pt idx="178">
                  <c:v>43644</c:v>
                </c:pt>
                <c:pt idx="179">
                  <c:v>43645</c:v>
                </c:pt>
                <c:pt idx="180">
                  <c:v>43646</c:v>
                </c:pt>
                <c:pt idx="181">
                  <c:v>43647</c:v>
                </c:pt>
                <c:pt idx="182">
                  <c:v>43648</c:v>
                </c:pt>
                <c:pt idx="183">
                  <c:v>43649</c:v>
                </c:pt>
                <c:pt idx="184">
                  <c:v>43650</c:v>
                </c:pt>
                <c:pt idx="185">
                  <c:v>43651</c:v>
                </c:pt>
                <c:pt idx="186">
                  <c:v>43652</c:v>
                </c:pt>
                <c:pt idx="187">
                  <c:v>43653</c:v>
                </c:pt>
                <c:pt idx="188">
                  <c:v>43654</c:v>
                </c:pt>
                <c:pt idx="189">
                  <c:v>43655</c:v>
                </c:pt>
                <c:pt idx="190">
                  <c:v>43656</c:v>
                </c:pt>
                <c:pt idx="191">
                  <c:v>43657</c:v>
                </c:pt>
                <c:pt idx="192">
                  <c:v>43658</c:v>
                </c:pt>
                <c:pt idx="193">
                  <c:v>43659</c:v>
                </c:pt>
                <c:pt idx="194">
                  <c:v>43660</c:v>
                </c:pt>
                <c:pt idx="195">
                  <c:v>43661</c:v>
                </c:pt>
                <c:pt idx="196">
                  <c:v>43662</c:v>
                </c:pt>
                <c:pt idx="197">
                  <c:v>43663</c:v>
                </c:pt>
                <c:pt idx="198">
                  <c:v>43664</c:v>
                </c:pt>
                <c:pt idx="199">
                  <c:v>43665</c:v>
                </c:pt>
                <c:pt idx="200">
                  <c:v>43666</c:v>
                </c:pt>
                <c:pt idx="201">
                  <c:v>43667</c:v>
                </c:pt>
                <c:pt idx="202">
                  <c:v>43668</c:v>
                </c:pt>
                <c:pt idx="203">
                  <c:v>43669</c:v>
                </c:pt>
                <c:pt idx="204">
                  <c:v>43670</c:v>
                </c:pt>
                <c:pt idx="205">
                  <c:v>43671</c:v>
                </c:pt>
                <c:pt idx="206">
                  <c:v>43672</c:v>
                </c:pt>
                <c:pt idx="207">
                  <c:v>43673</c:v>
                </c:pt>
                <c:pt idx="208">
                  <c:v>43674</c:v>
                </c:pt>
                <c:pt idx="209">
                  <c:v>43675</c:v>
                </c:pt>
                <c:pt idx="210">
                  <c:v>43676</c:v>
                </c:pt>
                <c:pt idx="211">
                  <c:v>43677</c:v>
                </c:pt>
                <c:pt idx="212">
                  <c:v>43678</c:v>
                </c:pt>
                <c:pt idx="213">
                  <c:v>43679</c:v>
                </c:pt>
                <c:pt idx="214">
                  <c:v>43680</c:v>
                </c:pt>
                <c:pt idx="215">
                  <c:v>43681</c:v>
                </c:pt>
                <c:pt idx="216">
                  <c:v>43682</c:v>
                </c:pt>
                <c:pt idx="217">
                  <c:v>43683</c:v>
                </c:pt>
                <c:pt idx="218">
                  <c:v>43684</c:v>
                </c:pt>
                <c:pt idx="219">
                  <c:v>43685</c:v>
                </c:pt>
                <c:pt idx="220">
                  <c:v>43686</c:v>
                </c:pt>
                <c:pt idx="221">
                  <c:v>43687</c:v>
                </c:pt>
                <c:pt idx="222">
                  <c:v>43688</c:v>
                </c:pt>
                <c:pt idx="223">
                  <c:v>43689</c:v>
                </c:pt>
                <c:pt idx="224">
                  <c:v>43690</c:v>
                </c:pt>
                <c:pt idx="225">
                  <c:v>43691</c:v>
                </c:pt>
                <c:pt idx="226">
                  <c:v>43692</c:v>
                </c:pt>
                <c:pt idx="227">
                  <c:v>43693</c:v>
                </c:pt>
                <c:pt idx="228">
                  <c:v>43694</c:v>
                </c:pt>
                <c:pt idx="229">
                  <c:v>43695</c:v>
                </c:pt>
                <c:pt idx="230">
                  <c:v>43696</c:v>
                </c:pt>
                <c:pt idx="231">
                  <c:v>43697</c:v>
                </c:pt>
                <c:pt idx="232">
                  <c:v>43698</c:v>
                </c:pt>
                <c:pt idx="233">
                  <c:v>43699</c:v>
                </c:pt>
                <c:pt idx="234">
                  <c:v>43700</c:v>
                </c:pt>
                <c:pt idx="235">
                  <c:v>43701</c:v>
                </c:pt>
                <c:pt idx="236">
                  <c:v>43702</c:v>
                </c:pt>
                <c:pt idx="237">
                  <c:v>43703</c:v>
                </c:pt>
                <c:pt idx="238">
                  <c:v>43704</c:v>
                </c:pt>
                <c:pt idx="239">
                  <c:v>43705</c:v>
                </c:pt>
                <c:pt idx="240">
                  <c:v>43706</c:v>
                </c:pt>
                <c:pt idx="241">
                  <c:v>43707</c:v>
                </c:pt>
                <c:pt idx="242">
                  <c:v>43708</c:v>
                </c:pt>
                <c:pt idx="243">
                  <c:v>43709</c:v>
                </c:pt>
                <c:pt idx="244">
                  <c:v>43710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43715</c:v>
                </c:pt>
                <c:pt idx="250">
                  <c:v>43716</c:v>
                </c:pt>
                <c:pt idx="251">
                  <c:v>43717</c:v>
                </c:pt>
                <c:pt idx="252">
                  <c:v>43718</c:v>
                </c:pt>
                <c:pt idx="253">
                  <c:v>43719</c:v>
                </c:pt>
                <c:pt idx="254">
                  <c:v>43720</c:v>
                </c:pt>
                <c:pt idx="255">
                  <c:v>43721</c:v>
                </c:pt>
                <c:pt idx="256">
                  <c:v>43722</c:v>
                </c:pt>
                <c:pt idx="257">
                  <c:v>43723</c:v>
                </c:pt>
                <c:pt idx="258">
                  <c:v>43724</c:v>
                </c:pt>
                <c:pt idx="259">
                  <c:v>43725</c:v>
                </c:pt>
                <c:pt idx="260">
                  <c:v>43726</c:v>
                </c:pt>
                <c:pt idx="261">
                  <c:v>43727</c:v>
                </c:pt>
                <c:pt idx="262">
                  <c:v>43728</c:v>
                </c:pt>
                <c:pt idx="263">
                  <c:v>43729</c:v>
                </c:pt>
                <c:pt idx="264">
                  <c:v>43730</c:v>
                </c:pt>
                <c:pt idx="265">
                  <c:v>43731</c:v>
                </c:pt>
                <c:pt idx="266">
                  <c:v>43732</c:v>
                </c:pt>
                <c:pt idx="267">
                  <c:v>43733</c:v>
                </c:pt>
                <c:pt idx="268">
                  <c:v>43734</c:v>
                </c:pt>
                <c:pt idx="269">
                  <c:v>43735</c:v>
                </c:pt>
                <c:pt idx="270">
                  <c:v>43736</c:v>
                </c:pt>
                <c:pt idx="271">
                  <c:v>43737</c:v>
                </c:pt>
                <c:pt idx="272">
                  <c:v>43738</c:v>
                </c:pt>
                <c:pt idx="273">
                  <c:v>43739</c:v>
                </c:pt>
                <c:pt idx="274">
                  <c:v>43740</c:v>
                </c:pt>
                <c:pt idx="275">
                  <c:v>43741</c:v>
                </c:pt>
                <c:pt idx="276">
                  <c:v>43742</c:v>
                </c:pt>
                <c:pt idx="277">
                  <c:v>43743</c:v>
                </c:pt>
                <c:pt idx="278">
                  <c:v>43744</c:v>
                </c:pt>
                <c:pt idx="279">
                  <c:v>43745</c:v>
                </c:pt>
                <c:pt idx="280">
                  <c:v>43746</c:v>
                </c:pt>
                <c:pt idx="281">
                  <c:v>43747</c:v>
                </c:pt>
                <c:pt idx="282">
                  <c:v>43748</c:v>
                </c:pt>
                <c:pt idx="283">
                  <c:v>43749</c:v>
                </c:pt>
                <c:pt idx="284">
                  <c:v>43750</c:v>
                </c:pt>
                <c:pt idx="285">
                  <c:v>43751</c:v>
                </c:pt>
                <c:pt idx="286">
                  <c:v>43752</c:v>
                </c:pt>
                <c:pt idx="287">
                  <c:v>43753</c:v>
                </c:pt>
                <c:pt idx="288">
                  <c:v>43754</c:v>
                </c:pt>
                <c:pt idx="289">
                  <c:v>43755</c:v>
                </c:pt>
                <c:pt idx="290">
                  <c:v>43756</c:v>
                </c:pt>
                <c:pt idx="291">
                  <c:v>43757</c:v>
                </c:pt>
                <c:pt idx="292">
                  <c:v>43758</c:v>
                </c:pt>
                <c:pt idx="293">
                  <c:v>43759</c:v>
                </c:pt>
                <c:pt idx="294">
                  <c:v>43760</c:v>
                </c:pt>
                <c:pt idx="295">
                  <c:v>43761</c:v>
                </c:pt>
                <c:pt idx="296">
                  <c:v>43762</c:v>
                </c:pt>
                <c:pt idx="297">
                  <c:v>43763</c:v>
                </c:pt>
                <c:pt idx="298">
                  <c:v>43764</c:v>
                </c:pt>
                <c:pt idx="299">
                  <c:v>43765</c:v>
                </c:pt>
                <c:pt idx="300">
                  <c:v>43766</c:v>
                </c:pt>
                <c:pt idx="301">
                  <c:v>43767</c:v>
                </c:pt>
                <c:pt idx="302">
                  <c:v>43768</c:v>
                </c:pt>
                <c:pt idx="303">
                  <c:v>43769</c:v>
                </c:pt>
                <c:pt idx="304">
                  <c:v>43770</c:v>
                </c:pt>
                <c:pt idx="305">
                  <c:v>43771</c:v>
                </c:pt>
                <c:pt idx="306">
                  <c:v>43772</c:v>
                </c:pt>
                <c:pt idx="307">
                  <c:v>43773</c:v>
                </c:pt>
                <c:pt idx="308">
                  <c:v>43774</c:v>
                </c:pt>
                <c:pt idx="309">
                  <c:v>43775</c:v>
                </c:pt>
                <c:pt idx="310">
                  <c:v>43776</c:v>
                </c:pt>
                <c:pt idx="311">
                  <c:v>43777</c:v>
                </c:pt>
                <c:pt idx="312">
                  <c:v>43778</c:v>
                </c:pt>
                <c:pt idx="313">
                  <c:v>43779</c:v>
                </c:pt>
                <c:pt idx="314">
                  <c:v>43780</c:v>
                </c:pt>
                <c:pt idx="315">
                  <c:v>43781</c:v>
                </c:pt>
                <c:pt idx="316">
                  <c:v>43782</c:v>
                </c:pt>
                <c:pt idx="317">
                  <c:v>43783</c:v>
                </c:pt>
                <c:pt idx="318">
                  <c:v>43784</c:v>
                </c:pt>
                <c:pt idx="319">
                  <c:v>43785</c:v>
                </c:pt>
                <c:pt idx="320">
                  <c:v>43786</c:v>
                </c:pt>
                <c:pt idx="321">
                  <c:v>43787</c:v>
                </c:pt>
                <c:pt idx="322">
                  <c:v>43788</c:v>
                </c:pt>
                <c:pt idx="323">
                  <c:v>43789</c:v>
                </c:pt>
                <c:pt idx="324">
                  <c:v>43790</c:v>
                </c:pt>
                <c:pt idx="325">
                  <c:v>43791</c:v>
                </c:pt>
                <c:pt idx="326">
                  <c:v>43792</c:v>
                </c:pt>
                <c:pt idx="327">
                  <c:v>43793</c:v>
                </c:pt>
                <c:pt idx="328">
                  <c:v>43794</c:v>
                </c:pt>
                <c:pt idx="329">
                  <c:v>43795</c:v>
                </c:pt>
                <c:pt idx="330">
                  <c:v>43796</c:v>
                </c:pt>
                <c:pt idx="331">
                  <c:v>43797</c:v>
                </c:pt>
                <c:pt idx="332">
                  <c:v>43798</c:v>
                </c:pt>
                <c:pt idx="333">
                  <c:v>43799</c:v>
                </c:pt>
                <c:pt idx="334">
                  <c:v>43800</c:v>
                </c:pt>
                <c:pt idx="335">
                  <c:v>43801</c:v>
                </c:pt>
                <c:pt idx="336">
                  <c:v>43802</c:v>
                </c:pt>
                <c:pt idx="337">
                  <c:v>43803</c:v>
                </c:pt>
                <c:pt idx="338">
                  <c:v>43804</c:v>
                </c:pt>
                <c:pt idx="339">
                  <c:v>43805</c:v>
                </c:pt>
                <c:pt idx="340">
                  <c:v>43806</c:v>
                </c:pt>
                <c:pt idx="341">
                  <c:v>43807</c:v>
                </c:pt>
                <c:pt idx="342">
                  <c:v>43808</c:v>
                </c:pt>
                <c:pt idx="343">
                  <c:v>43809</c:v>
                </c:pt>
                <c:pt idx="344">
                  <c:v>43810</c:v>
                </c:pt>
                <c:pt idx="345">
                  <c:v>43811</c:v>
                </c:pt>
                <c:pt idx="346">
                  <c:v>43812</c:v>
                </c:pt>
                <c:pt idx="347">
                  <c:v>43813</c:v>
                </c:pt>
                <c:pt idx="348">
                  <c:v>43814</c:v>
                </c:pt>
                <c:pt idx="349">
                  <c:v>43815</c:v>
                </c:pt>
                <c:pt idx="350">
                  <c:v>43816</c:v>
                </c:pt>
                <c:pt idx="351">
                  <c:v>43817</c:v>
                </c:pt>
                <c:pt idx="352">
                  <c:v>43818</c:v>
                </c:pt>
                <c:pt idx="353">
                  <c:v>43819</c:v>
                </c:pt>
                <c:pt idx="354">
                  <c:v>43820</c:v>
                </c:pt>
                <c:pt idx="355">
                  <c:v>43821</c:v>
                </c:pt>
                <c:pt idx="356">
                  <c:v>43822</c:v>
                </c:pt>
                <c:pt idx="357">
                  <c:v>43823</c:v>
                </c:pt>
                <c:pt idx="358">
                  <c:v>43824</c:v>
                </c:pt>
                <c:pt idx="359">
                  <c:v>43825</c:v>
                </c:pt>
                <c:pt idx="360">
                  <c:v>43826</c:v>
                </c:pt>
                <c:pt idx="361">
                  <c:v>43827</c:v>
                </c:pt>
                <c:pt idx="362">
                  <c:v>43828</c:v>
                </c:pt>
                <c:pt idx="363">
                  <c:v>43829</c:v>
                </c:pt>
                <c:pt idx="364">
                  <c:v>43830</c:v>
                </c:pt>
              </c:numCache>
            </c:numRef>
          </c:cat>
          <c:val>
            <c:numRef>
              <c:f>アイスクリームの売り上げデータ!$G$3:$G$367</c:f>
              <c:numCache>
                <c:formatCode>General</c:formatCode>
                <c:ptCount val="365"/>
                <c:pt idx="0">
                  <c:v>101</c:v>
                </c:pt>
                <c:pt idx="1">
                  <c:v>119</c:v>
                </c:pt>
                <c:pt idx="2">
                  <c:v>98</c:v>
                </c:pt>
                <c:pt idx="3">
                  <c:v>106</c:v>
                </c:pt>
                <c:pt idx="4">
                  <c:v>174</c:v>
                </c:pt>
                <c:pt idx="5">
                  <c:v>206</c:v>
                </c:pt>
                <c:pt idx="6">
                  <c:v>90</c:v>
                </c:pt>
                <c:pt idx="7">
                  <c:v>110</c:v>
                </c:pt>
                <c:pt idx="8">
                  <c:v>117</c:v>
                </c:pt>
                <c:pt idx="9">
                  <c:v>104</c:v>
                </c:pt>
                <c:pt idx="10">
                  <c:v>117</c:v>
                </c:pt>
                <c:pt idx="11">
                  <c:v>161</c:v>
                </c:pt>
                <c:pt idx="12">
                  <c:v>176</c:v>
                </c:pt>
                <c:pt idx="13">
                  <c:v>87</c:v>
                </c:pt>
                <c:pt idx="14">
                  <c:v>100</c:v>
                </c:pt>
                <c:pt idx="15">
                  <c:v>130</c:v>
                </c:pt>
                <c:pt idx="16">
                  <c:v>117</c:v>
                </c:pt>
                <c:pt idx="17">
                  <c:v>102</c:v>
                </c:pt>
                <c:pt idx="18">
                  <c:v>160</c:v>
                </c:pt>
                <c:pt idx="19">
                  <c:v>187</c:v>
                </c:pt>
                <c:pt idx="20">
                  <c:v>90</c:v>
                </c:pt>
                <c:pt idx="21">
                  <c:v>98</c:v>
                </c:pt>
                <c:pt idx="22">
                  <c:v>139</c:v>
                </c:pt>
                <c:pt idx="23">
                  <c:v>112</c:v>
                </c:pt>
                <c:pt idx="24">
                  <c:v>111</c:v>
                </c:pt>
                <c:pt idx="25">
                  <c:v>152</c:v>
                </c:pt>
                <c:pt idx="26">
                  <c:v>170</c:v>
                </c:pt>
                <c:pt idx="27">
                  <c:v>80</c:v>
                </c:pt>
                <c:pt idx="28">
                  <c:v>115</c:v>
                </c:pt>
                <c:pt idx="29">
                  <c:v>120</c:v>
                </c:pt>
                <c:pt idx="30">
                  <c:v>94</c:v>
                </c:pt>
                <c:pt idx="31">
                  <c:v>97</c:v>
                </c:pt>
                <c:pt idx="32">
                  <c:v>149</c:v>
                </c:pt>
                <c:pt idx="33">
                  <c:v>176</c:v>
                </c:pt>
                <c:pt idx="34">
                  <c:v>114</c:v>
                </c:pt>
                <c:pt idx="35">
                  <c:v>122</c:v>
                </c:pt>
                <c:pt idx="36">
                  <c:v>119</c:v>
                </c:pt>
                <c:pt idx="37">
                  <c:v>123</c:v>
                </c:pt>
                <c:pt idx="38">
                  <c:v>110</c:v>
                </c:pt>
                <c:pt idx="39">
                  <c:v>125</c:v>
                </c:pt>
                <c:pt idx="40">
                  <c:v>162</c:v>
                </c:pt>
                <c:pt idx="41">
                  <c:v>81</c:v>
                </c:pt>
                <c:pt idx="42">
                  <c:v>101</c:v>
                </c:pt>
                <c:pt idx="43">
                  <c:v>124</c:v>
                </c:pt>
                <c:pt idx="44">
                  <c:v>97</c:v>
                </c:pt>
                <c:pt idx="45">
                  <c:v>98</c:v>
                </c:pt>
                <c:pt idx="46">
                  <c:v>166</c:v>
                </c:pt>
                <c:pt idx="47">
                  <c:v>186</c:v>
                </c:pt>
                <c:pt idx="48">
                  <c:v>90</c:v>
                </c:pt>
                <c:pt idx="49">
                  <c:v>127</c:v>
                </c:pt>
                <c:pt idx="50">
                  <c:v>165</c:v>
                </c:pt>
                <c:pt idx="51">
                  <c:v>115</c:v>
                </c:pt>
                <c:pt idx="52">
                  <c:v>125</c:v>
                </c:pt>
                <c:pt idx="53">
                  <c:v>173</c:v>
                </c:pt>
                <c:pt idx="54">
                  <c:v>182</c:v>
                </c:pt>
                <c:pt idx="55">
                  <c:v>109</c:v>
                </c:pt>
                <c:pt idx="56">
                  <c:v>116</c:v>
                </c:pt>
                <c:pt idx="57">
                  <c:v>143</c:v>
                </c:pt>
                <c:pt idx="58">
                  <c:v>86</c:v>
                </c:pt>
                <c:pt idx="59">
                  <c:v>110</c:v>
                </c:pt>
                <c:pt idx="60">
                  <c:v>166</c:v>
                </c:pt>
                <c:pt idx="61">
                  <c:v>158</c:v>
                </c:pt>
                <c:pt idx="62">
                  <c:v>58</c:v>
                </c:pt>
                <c:pt idx="63">
                  <c:v>134</c:v>
                </c:pt>
                <c:pt idx="64">
                  <c:v>150</c:v>
                </c:pt>
                <c:pt idx="65">
                  <c:v>86</c:v>
                </c:pt>
                <c:pt idx="66">
                  <c:v>126</c:v>
                </c:pt>
                <c:pt idx="67">
                  <c:v>154</c:v>
                </c:pt>
                <c:pt idx="68">
                  <c:v>207</c:v>
                </c:pt>
                <c:pt idx="69">
                  <c:v>79</c:v>
                </c:pt>
                <c:pt idx="70">
                  <c:v>132</c:v>
                </c:pt>
                <c:pt idx="71">
                  <c:v>140</c:v>
                </c:pt>
                <c:pt idx="72">
                  <c:v>109</c:v>
                </c:pt>
                <c:pt idx="73">
                  <c:v>120</c:v>
                </c:pt>
                <c:pt idx="74">
                  <c:v>164</c:v>
                </c:pt>
                <c:pt idx="75">
                  <c:v>222</c:v>
                </c:pt>
                <c:pt idx="76">
                  <c:v>100</c:v>
                </c:pt>
                <c:pt idx="77">
                  <c:v>134</c:v>
                </c:pt>
                <c:pt idx="78">
                  <c:v>158</c:v>
                </c:pt>
                <c:pt idx="79">
                  <c:v>140</c:v>
                </c:pt>
                <c:pt idx="80">
                  <c:v>136</c:v>
                </c:pt>
                <c:pt idx="81">
                  <c:v>156</c:v>
                </c:pt>
                <c:pt idx="82">
                  <c:v>218</c:v>
                </c:pt>
                <c:pt idx="83">
                  <c:v>91</c:v>
                </c:pt>
                <c:pt idx="84">
                  <c:v>126</c:v>
                </c:pt>
                <c:pt idx="85">
                  <c:v>162</c:v>
                </c:pt>
                <c:pt idx="86">
                  <c:v>137</c:v>
                </c:pt>
                <c:pt idx="87">
                  <c:v>105</c:v>
                </c:pt>
                <c:pt idx="88">
                  <c:v>171</c:v>
                </c:pt>
                <c:pt idx="89">
                  <c:v>220</c:v>
                </c:pt>
                <c:pt idx="90">
                  <c:v>89</c:v>
                </c:pt>
                <c:pt idx="91">
                  <c:v>126</c:v>
                </c:pt>
                <c:pt idx="92">
                  <c:v>149</c:v>
                </c:pt>
                <c:pt idx="93">
                  <c:v>127</c:v>
                </c:pt>
                <c:pt idx="94">
                  <c:v>130</c:v>
                </c:pt>
                <c:pt idx="95">
                  <c:v>173</c:v>
                </c:pt>
                <c:pt idx="96">
                  <c:v>245</c:v>
                </c:pt>
                <c:pt idx="97">
                  <c:v>96</c:v>
                </c:pt>
                <c:pt idx="98">
                  <c:v>117</c:v>
                </c:pt>
                <c:pt idx="99">
                  <c:v>100</c:v>
                </c:pt>
                <c:pt idx="100">
                  <c:v>121</c:v>
                </c:pt>
                <c:pt idx="101">
                  <c:v>119</c:v>
                </c:pt>
                <c:pt idx="102">
                  <c:v>193</c:v>
                </c:pt>
                <c:pt idx="103">
                  <c:v>202</c:v>
                </c:pt>
                <c:pt idx="104">
                  <c:v>114</c:v>
                </c:pt>
                <c:pt idx="105">
                  <c:v>146</c:v>
                </c:pt>
                <c:pt idx="106">
                  <c:v>165</c:v>
                </c:pt>
                <c:pt idx="107">
                  <c:v>141</c:v>
                </c:pt>
                <c:pt idx="108">
                  <c:v>161</c:v>
                </c:pt>
                <c:pt idx="109">
                  <c:v>202</c:v>
                </c:pt>
                <c:pt idx="110">
                  <c:v>235</c:v>
                </c:pt>
                <c:pt idx="111">
                  <c:v>131</c:v>
                </c:pt>
                <c:pt idx="112">
                  <c:v>162</c:v>
                </c:pt>
                <c:pt idx="113">
                  <c:v>177</c:v>
                </c:pt>
                <c:pt idx="114">
                  <c:v>155</c:v>
                </c:pt>
                <c:pt idx="115">
                  <c:v>131</c:v>
                </c:pt>
                <c:pt idx="116">
                  <c:v>157</c:v>
                </c:pt>
                <c:pt idx="117">
                  <c:v>224</c:v>
                </c:pt>
                <c:pt idx="118">
                  <c:v>126</c:v>
                </c:pt>
                <c:pt idx="119">
                  <c:v>123</c:v>
                </c:pt>
                <c:pt idx="120">
                  <c:v>147</c:v>
                </c:pt>
                <c:pt idx="121">
                  <c:v>157</c:v>
                </c:pt>
                <c:pt idx="122">
                  <c:v>148</c:v>
                </c:pt>
                <c:pt idx="123">
                  <c:v>216</c:v>
                </c:pt>
                <c:pt idx="124">
                  <c:v>218</c:v>
                </c:pt>
                <c:pt idx="125">
                  <c:v>124</c:v>
                </c:pt>
                <c:pt idx="126">
                  <c:v>135</c:v>
                </c:pt>
                <c:pt idx="127">
                  <c:v>178</c:v>
                </c:pt>
                <c:pt idx="128">
                  <c:v>163</c:v>
                </c:pt>
                <c:pt idx="129">
                  <c:v>155</c:v>
                </c:pt>
                <c:pt idx="130">
                  <c:v>217</c:v>
                </c:pt>
                <c:pt idx="131">
                  <c:v>236</c:v>
                </c:pt>
                <c:pt idx="132">
                  <c:v>127</c:v>
                </c:pt>
                <c:pt idx="133">
                  <c:v>139</c:v>
                </c:pt>
                <c:pt idx="134">
                  <c:v>181</c:v>
                </c:pt>
                <c:pt idx="135">
                  <c:v>159</c:v>
                </c:pt>
                <c:pt idx="136">
                  <c:v>162</c:v>
                </c:pt>
                <c:pt idx="137">
                  <c:v>194</c:v>
                </c:pt>
                <c:pt idx="138">
                  <c:v>240</c:v>
                </c:pt>
                <c:pt idx="139">
                  <c:v>134</c:v>
                </c:pt>
                <c:pt idx="140">
                  <c:v>69</c:v>
                </c:pt>
                <c:pt idx="141">
                  <c:v>183</c:v>
                </c:pt>
                <c:pt idx="142">
                  <c:v>151</c:v>
                </c:pt>
                <c:pt idx="143">
                  <c:v>172</c:v>
                </c:pt>
                <c:pt idx="144">
                  <c:v>231</c:v>
                </c:pt>
                <c:pt idx="145">
                  <c:v>248</c:v>
                </c:pt>
                <c:pt idx="146">
                  <c:v>149</c:v>
                </c:pt>
                <c:pt idx="147">
                  <c:v>168</c:v>
                </c:pt>
                <c:pt idx="148">
                  <c:v>174</c:v>
                </c:pt>
                <c:pt idx="149">
                  <c:v>164</c:v>
                </c:pt>
                <c:pt idx="150">
                  <c:v>175</c:v>
                </c:pt>
                <c:pt idx="151">
                  <c:v>207</c:v>
                </c:pt>
                <c:pt idx="152">
                  <c:v>227</c:v>
                </c:pt>
                <c:pt idx="153">
                  <c:v>140</c:v>
                </c:pt>
                <c:pt idx="154">
                  <c:v>168</c:v>
                </c:pt>
                <c:pt idx="155">
                  <c:v>178</c:v>
                </c:pt>
                <c:pt idx="156">
                  <c:v>167</c:v>
                </c:pt>
                <c:pt idx="157">
                  <c:v>137</c:v>
                </c:pt>
                <c:pt idx="158">
                  <c:v>215</c:v>
                </c:pt>
                <c:pt idx="159">
                  <c:v>212</c:v>
                </c:pt>
                <c:pt idx="160">
                  <c:v>31</c:v>
                </c:pt>
                <c:pt idx="161">
                  <c:v>155</c:v>
                </c:pt>
                <c:pt idx="162">
                  <c:v>160</c:v>
                </c:pt>
                <c:pt idx="163">
                  <c:v>151</c:v>
                </c:pt>
                <c:pt idx="164">
                  <c:v>176</c:v>
                </c:pt>
                <c:pt idx="165">
                  <c:v>144</c:v>
                </c:pt>
                <c:pt idx="166">
                  <c:v>234</c:v>
                </c:pt>
                <c:pt idx="167">
                  <c:v>155</c:v>
                </c:pt>
                <c:pt idx="168">
                  <c:v>181</c:v>
                </c:pt>
                <c:pt idx="169">
                  <c:v>190</c:v>
                </c:pt>
                <c:pt idx="170">
                  <c:v>183</c:v>
                </c:pt>
                <c:pt idx="171">
                  <c:v>184</c:v>
                </c:pt>
                <c:pt idx="172">
                  <c:v>219</c:v>
                </c:pt>
                <c:pt idx="173">
                  <c:v>245</c:v>
                </c:pt>
                <c:pt idx="174">
                  <c:v>102</c:v>
                </c:pt>
                <c:pt idx="175">
                  <c:v>157</c:v>
                </c:pt>
                <c:pt idx="176">
                  <c:v>191</c:v>
                </c:pt>
                <c:pt idx="177">
                  <c:v>169</c:v>
                </c:pt>
                <c:pt idx="178">
                  <c:v>183</c:v>
                </c:pt>
                <c:pt idx="179">
                  <c:v>203</c:v>
                </c:pt>
                <c:pt idx="180">
                  <c:v>240</c:v>
                </c:pt>
                <c:pt idx="181">
                  <c:v>135</c:v>
                </c:pt>
                <c:pt idx="182">
                  <c:v>185</c:v>
                </c:pt>
                <c:pt idx="183">
                  <c:v>204</c:v>
                </c:pt>
                <c:pt idx="184">
                  <c:v>167</c:v>
                </c:pt>
                <c:pt idx="185">
                  <c:v>160</c:v>
                </c:pt>
                <c:pt idx="186">
                  <c:v>194</c:v>
                </c:pt>
                <c:pt idx="187">
                  <c:v>214</c:v>
                </c:pt>
                <c:pt idx="188">
                  <c:v>146</c:v>
                </c:pt>
                <c:pt idx="189">
                  <c:v>165</c:v>
                </c:pt>
                <c:pt idx="190">
                  <c:v>197</c:v>
                </c:pt>
                <c:pt idx="191">
                  <c:v>163</c:v>
                </c:pt>
                <c:pt idx="192">
                  <c:v>151</c:v>
                </c:pt>
                <c:pt idx="193">
                  <c:v>202</c:v>
                </c:pt>
                <c:pt idx="194">
                  <c:v>225</c:v>
                </c:pt>
                <c:pt idx="195">
                  <c:v>133</c:v>
                </c:pt>
                <c:pt idx="196">
                  <c:v>138</c:v>
                </c:pt>
                <c:pt idx="197">
                  <c:v>182</c:v>
                </c:pt>
                <c:pt idx="198">
                  <c:v>165</c:v>
                </c:pt>
                <c:pt idx="199">
                  <c:v>167</c:v>
                </c:pt>
                <c:pt idx="200">
                  <c:v>230</c:v>
                </c:pt>
                <c:pt idx="201">
                  <c:v>250</c:v>
                </c:pt>
                <c:pt idx="202">
                  <c:v>148</c:v>
                </c:pt>
                <c:pt idx="203">
                  <c:v>169</c:v>
                </c:pt>
                <c:pt idx="204">
                  <c:v>198</c:v>
                </c:pt>
                <c:pt idx="205">
                  <c:v>192</c:v>
                </c:pt>
                <c:pt idx="206">
                  <c:v>184</c:v>
                </c:pt>
                <c:pt idx="207">
                  <c:v>230</c:v>
                </c:pt>
                <c:pt idx="208">
                  <c:v>267</c:v>
                </c:pt>
                <c:pt idx="209">
                  <c:v>173</c:v>
                </c:pt>
                <c:pt idx="210">
                  <c:v>190</c:v>
                </c:pt>
                <c:pt idx="211">
                  <c:v>215</c:v>
                </c:pt>
                <c:pt idx="212">
                  <c:v>203</c:v>
                </c:pt>
                <c:pt idx="213">
                  <c:v>189</c:v>
                </c:pt>
                <c:pt idx="214">
                  <c:v>252</c:v>
                </c:pt>
                <c:pt idx="215">
                  <c:v>269</c:v>
                </c:pt>
                <c:pt idx="216">
                  <c:v>165</c:v>
                </c:pt>
                <c:pt idx="217">
                  <c:v>190</c:v>
                </c:pt>
                <c:pt idx="218">
                  <c:v>223</c:v>
                </c:pt>
                <c:pt idx="219">
                  <c:v>186</c:v>
                </c:pt>
                <c:pt idx="220">
                  <c:v>187</c:v>
                </c:pt>
                <c:pt idx="221">
                  <c:v>239</c:v>
                </c:pt>
                <c:pt idx="222">
                  <c:v>276</c:v>
                </c:pt>
                <c:pt idx="223">
                  <c:v>161</c:v>
                </c:pt>
                <c:pt idx="224">
                  <c:v>184</c:v>
                </c:pt>
                <c:pt idx="225">
                  <c:v>215</c:v>
                </c:pt>
                <c:pt idx="226">
                  <c:v>166</c:v>
                </c:pt>
                <c:pt idx="227">
                  <c:v>198</c:v>
                </c:pt>
                <c:pt idx="228">
                  <c:v>242</c:v>
                </c:pt>
                <c:pt idx="229">
                  <c:v>291</c:v>
                </c:pt>
                <c:pt idx="230">
                  <c:v>168</c:v>
                </c:pt>
                <c:pt idx="231">
                  <c:v>182</c:v>
                </c:pt>
                <c:pt idx="232">
                  <c:v>210</c:v>
                </c:pt>
                <c:pt idx="233">
                  <c:v>169</c:v>
                </c:pt>
                <c:pt idx="234">
                  <c:v>176</c:v>
                </c:pt>
                <c:pt idx="235">
                  <c:v>236</c:v>
                </c:pt>
                <c:pt idx="236">
                  <c:v>259</c:v>
                </c:pt>
                <c:pt idx="237">
                  <c:v>158</c:v>
                </c:pt>
                <c:pt idx="238">
                  <c:v>182</c:v>
                </c:pt>
                <c:pt idx="239">
                  <c:v>194</c:v>
                </c:pt>
                <c:pt idx="240">
                  <c:v>182</c:v>
                </c:pt>
                <c:pt idx="241">
                  <c:v>174</c:v>
                </c:pt>
                <c:pt idx="242">
                  <c:v>223</c:v>
                </c:pt>
                <c:pt idx="243">
                  <c:v>260</c:v>
                </c:pt>
                <c:pt idx="244">
                  <c:v>163</c:v>
                </c:pt>
                <c:pt idx="245">
                  <c:v>174</c:v>
                </c:pt>
                <c:pt idx="246">
                  <c:v>198</c:v>
                </c:pt>
                <c:pt idx="247">
                  <c:v>183</c:v>
                </c:pt>
                <c:pt idx="248">
                  <c:v>196</c:v>
                </c:pt>
                <c:pt idx="249">
                  <c:v>239</c:v>
                </c:pt>
                <c:pt idx="250">
                  <c:v>242</c:v>
                </c:pt>
                <c:pt idx="251">
                  <c:v>42</c:v>
                </c:pt>
                <c:pt idx="252">
                  <c:v>185</c:v>
                </c:pt>
                <c:pt idx="253">
                  <c:v>210</c:v>
                </c:pt>
                <c:pt idx="254">
                  <c:v>173</c:v>
                </c:pt>
                <c:pt idx="255">
                  <c:v>160</c:v>
                </c:pt>
                <c:pt idx="256">
                  <c:v>224</c:v>
                </c:pt>
                <c:pt idx="257">
                  <c:v>276</c:v>
                </c:pt>
                <c:pt idx="258">
                  <c:v>122</c:v>
                </c:pt>
                <c:pt idx="259">
                  <c:v>169</c:v>
                </c:pt>
                <c:pt idx="260">
                  <c:v>164</c:v>
                </c:pt>
                <c:pt idx="261">
                  <c:v>172</c:v>
                </c:pt>
                <c:pt idx="262">
                  <c:v>158</c:v>
                </c:pt>
                <c:pt idx="263">
                  <c:v>210</c:v>
                </c:pt>
                <c:pt idx="264">
                  <c:v>235</c:v>
                </c:pt>
                <c:pt idx="265">
                  <c:v>152</c:v>
                </c:pt>
                <c:pt idx="266">
                  <c:v>180</c:v>
                </c:pt>
                <c:pt idx="267">
                  <c:v>208</c:v>
                </c:pt>
                <c:pt idx="268">
                  <c:v>181</c:v>
                </c:pt>
                <c:pt idx="269">
                  <c:v>176</c:v>
                </c:pt>
                <c:pt idx="270">
                  <c:v>213</c:v>
                </c:pt>
                <c:pt idx="271">
                  <c:v>256</c:v>
                </c:pt>
                <c:pt idx="272">
                  <c:v>162</c:v>
                </c:pt>
                <c:pt idx="273">
                  <c:v>174</c:v>
                </c:pt>
                <c:pt idx="274">
                  <c:v>193</c:v>
                </c:pt>
                <c:pt idx="275">
                  <c:v>171</c:v>
                </c:pt>
                <c:pt idx="276">
                  <c:v>161</c:v>
                </c:pt>
                <c:pt idx="277">
                  <c:v>236</c:v>
                </c:pt>
                <c:pt idx="278">
                  <c:v>217</c:v>
                </c:pt>
                <c:pt idx="279">
                  <c:v>138</c:v>
                </c:pt>
                <c:pt idx="280">
                  <c:v>166</c:v>
                </c:pt>
                <c:pt idx="281">
                  <c:v>196</c:v>
                </c:pt>
                <c:pt idx="282">
                  <c:v>154</c:v>
                </c:pt>
                <c:pt idx="283">
                  <c:v>150</c:v>
                </c:pt>
                <c:pt idx="284">
                  <c:v>0</c:v>
                </c:pt>
                <c:pt idx="285">
                  <c:v>249</c:v>
                </c:pt>
                <c:pt idx="286">
                  <c:v>124</c:v>
                </c:pt>
                <c:pt idx="287">
                  <c:v>146</c:v>
                </c:pt>
                <c:pt idx="288">
                  <c:v>170</c:v>
                </c:pt>
                <c:pt idx="289">
                  <c:v>147</c:v>
                </c:pt>
                <c:pt idx="290">
                  <c:v>135</c:v>
                </c:pt>
                <c:pt idx="291">
                  <c:v>123</c:v>
                </c:pt>
                <c:pt idx="292">
                  <c:v>252</c:v>
                </c:pt>
                <c:pt idx="293">
                  <c:v>115</c:v>
                </c:pt>
                <c:pt idx="294">
                  <c:v>84</c:v>
                </c:pt>
                <c:pt idx="295">
                  <c:v>184</c:v>
                </c:pt>
                <c:pt idx="296">
                  <c:v>139</c:v>
                </c:pt>
                <c:pt idx="297">
                  <c:v>7</c:v>
                </c:pt>
                <c:pt idx="298">
                  <c:v>206</c:v>
                </c:pt>
                <c:pt idx="299">
                  <c:v>249</c:v>
                </c:pt>
                <c:pt idx="300">
                  <c:v>132</c:v>
                </c:pt>
                <c:pt idx="301">
                  <c:v>116</c:v>
                </c:pt>
                <c:pt idx="302">
                  <c:v>182</c:v>
                </c:pt>
                <c:pt idx="303">
                  <c:v>146</c:v>
                </c:pt>
                <c:pt idx="304">
                  <c:v>153</c:v>
                </c:pt>
                <c:pt idx="305">
                  <c:v>198</c:v>
                </c:pt>
                <c:pt idx="306">
                  <c:v>213</c:v>
                </c:pt>
                <c:pt idx="307">
                  <c:v>115</c:v>
                </c:pt>
                <c:pt idx="308">
                  <c:v>128</c:v>
                </c:pt>
                <c:pt idx="309">
                  <c:v>160</c:v>
                </c:pt>
                <c:pt idx="310">
                  <c:v>136</c:v>
                </c:pt>
                <c:pt idx="311">
                  <c:v>132</c:v>
                </c:pt>
                <c:pt idx="312">
                  <c:v>168</c:v>
                </c:pt>
                <c:pt idx="313">
                  <c:v>238</c:v>
                </c:pt>
                <c:pt idx="314">
                  <c:v>113</c:v>
                </c:pt>
                <c:pt idx="315">
                  <c:v>145</c:v>
                </c:pt>
                <c:pt idx="316">
                  <c:v>152</c:v>
                </c:pt>
                <c:pt idx="317">
                  <c:v>140</c:v>
                </c:pt>
                <c:pt idx="318">
                  <c:v>136</c:v>
                </c:pt>
                <c:pt idx="319">
                  <c:v>168</c:v>
                </c:pt>
                <c:pt idx="320">
                  <c:v>226</c:v>
                </c:pt>
                <c:pt idx="321">
                  <c:v>114</c:v>
                </c:pt>
                <c:pt idx="322">
                  <c:v>152</c:v>
                </c:pt>
                <c:pt idx="323">
                  <c:v>166</c:v>
                </c:pt>
                <c:pt idx="324">
                  <c:v>134</c:v>
                </c:pt>
                <c:pt idx="325">
                  <c:v>62</c:v>
                </c:pt>
                <c:pt idx="326">
                  <c:v>117</c:v>
                </c:pt>
                <c:pt idx="327">
                  <c:v>226</c:v>
                </c:pt>
                <c:pt idx="328">
                  <c:v>128</c:v>
                </c:pt>
                <c:pt idx="329">
                  <c:v>113</c:v>
                </c:pt>
                <c:pt idx="330">
                  <c:v>128</c:v>
                </c:pt>
                <c:pt idx="331">
                  <c:v>109</c:v>
                </c:pt>
                <c:pt idx="332">
                  <c:v>96</c:v>
                </c:pt>
                <c:pt idx="333">
                  <c:v>143</c:v>
                </c:pt>
                <c:pt idx="334">
                  <c:v>211</c:v>
                </c:pt>
                <c:pt idx="335">
                  <c:v>60</c:v>
                </c:pt>
                <c:pt idx="336">
                  <c:v>129</c:v>
                </c:pt>
                <c:pt idx="337">
                  <c:v>162</c:v>
                </c:pt>
                <c:pt idx="338">
                  <c:v>115</c:v>
                </c:pt>
                <c:pt idx="339">
                  <c:v>112</c:v>
                </c:pt>
                <c:pt idx="340">
                  <c:v>143</c:v>
                </c:pt>
                <c:pt idx="341">
                  <c:v>196</c:v>
                </c:pt>
                <c:pt idx="342">
                  <c:v>80</c:v>
                </c:pt>
                <c:pt idx="343">
                  <c:v>113</c:v>
                </c:pt>
                <c:pt idx="344">
                  <c:v>156</c:v>
                </c:pt>
                <c:pt idx="345">
                  <c:v>144</c:v>
                </c:pt>
                <c:pt idx="346">
                  <c:v>108</c:v>
                </c:pt>
                <c:pt idx="347">
                  <c:v>169</c:v>
                </c:pt>
                <c:pt idx="348">
                  <c:v>212</c:v>
                </c:pt>
                <c:pt idx="349">
                  <c:v>83</c:v>
                </c:pt>
                <c:pt idx="350">
                  <c:v>126</c:v>
                </c:pt>
                <c:pt idx="351">
                  <c:v>151</c:v>
                </c:pt>
                <c:pt idx="352">
                  <c:v>121</c:v>
                </c:pt>
                <c:pt idx="353">
                  <c:v>128</c:v>
                </c:pt>
                <c:pt idx="354">
                  <c:v>165</c:v>
                </c:pt>
                <c:pt idx="355">
                  <c:v>157</c:v>
                </c:pt>
                <c:pt idx="356">
                  <c:v>77</c:v>
                </c:pt>
                <c:pt idx="357">
                  <c:v>120</c:v>
                </c:pt>
                <c:pt idx="358">
                  <c:v>143</c:v>
                </c:pt>
                <c:pt idx="359">
                  <c:v>107</c:v>
                </c:pt>
                <c:pt idx="360">
                  <c:v>125</c:v>
                </c:pt>
                <c:pt idx="361">
                  <c:v>168</c:v>
                </c:pt>
                <c:pt idx="362">
                  <c:v>199</c:v>
                </c:pt>
                <c:pt idx="363">
                  <c:v>88</c:v>
                </c:pt>
                <c:pt idx="364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E9-064D-AD42-56BAD8DB6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9613888"/>
        <c:axId val="1359615536"/>
      </c:lineChart>
      <c:dateAx>
        <c:axId val="1359613888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59615536"/>
        <c:crosses val="autoZero"/>
        <c:auto val="0"/>
        <c:lblOffset val="100"/>
        <c:baseTimeUnit val="days"/>
      </c:dateAx>
      <c:valAx>
        <c:axId val="135961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5961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曜日毎データ!$C$2</c:f>
              <c:strCache>
                <c:ptCount val="1"/>
                <c:pt idx="0">
                  <c:v>合計売上個数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曜日毎データ!$B$3:$B$9</c:f>
              <c:strCache>
                <c:ptCount val="7"/>
                <c:pt idx="0">
                  <c:v>日曜日</c:v>
                </c:pt>
                <c:pt idx="1">
                  <c:v>月曜日</c:v>
                </c:pt>
                <c:pt idx="2">
                  <c:v>火曜日</c:v>
                </c:pt>
                <c:pt idx="3">
                  <c:v>水曜日</c:v>
                </c:pt>
                <c:pt idx="4">
                  <c:v>木曜日</c:v>
                </c:pt>
                <c:pt idx="5">
                  <c:v>金曜日</c:v>
                </c:pt>
                <c:pt idx="6">
                  <c:v>土曜日</c:v>
                </c:pt>
              </c:strCache>
            </c:strRef>
          </c:cat>
          <c:val>
            <c:numRef>
              <c:f>曜日毎データ!$C$3:$C$9</c:f>
              <c:numCache>
                <c:formatCode>General</c:formatCode>
                <c:ptCount val="7"/>
                <c:pt idx="0">
                  <c:v>11641</c:v>
                </c:pt>
                <c:pt idx="1">
                  <c:v>5982</c:v>
                </c:pt>
                <c:pt idx="2">
                  <c:v>7383</c:v>
                </c:pt>
                <c:pt idx="3">
                  <c:v>8601</c:v>
                </c:pt>
                <c:pt idx="4">
                  <c:v>7393</c:v>
                </c:pt>
                <c:pt idx="5">
                  <c:v>7171</c:v>
                </c:pt>
                <c:pt idx="6">
                  <c:v>9406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A-3A41-B76D-E6D6C1D7A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4952863"/>
        <c:axId val="1728875536"/>
      </c:barChart>
      <c:catAx>
        <c:axId val="111495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28875536"/>
        <c:crosses val="autoZero"/>
        <c:auto val="1"/>
        <c:lblAlgn val="ctr"/>
        <c:lblOffset val="100"/>
        <c:noMultiLvlLbl val="0"/>
      </c:catAx>
      <c:valAx>
        <c:axId val="172887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495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平均気温と売上の関係!$D$2</c:f>
              <c:strCache>
                <c:ptCount val="1"/>
                <c:pt idx="0">
                  <c:v>売上個数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平均気温と売上の関係!$C$3:$C$367</c:f>
              <c:numCache>
                <c:formatCode>General</c:formatCode>
                <c:ptCount val="365"/>
                <c:pt idx="0">
                  <c:v>5.3</c:v>
                </c:pt>
                <c:pt idx="1">
                  <c:v>6.2</c:v>
                </c:pt>
                <c:pt idx="2">
                  <c:v>4.9000000000000004</c:v>
                </c:pt>
                <c:pt idx="3">
                  <c:v>5.0999999999999996</c:v>
                </c:pt>
                <c:pt idx="4">
                  <c:v>7.4</c:v>
                </c:pt>
                <c:pt idx="5">
                  <c:v>5.3</c:v>
                </c:pt>
                <c:pt idx="6">
                  <c:v>5.4</c:v>
                </c:pt>
                <c:pt idx="7">
                  <c:v>4.5999999999999996</c:v>
                </c:pt>
                <c:pt idx="8">
                  <c:v>4.5</c:v>
                </c:pt>
                <c:pt idx="9">
                  <c:v>2</c:v>
                </c:pt>
                <c:pt idx="10">
                  <c:v>6.4</c:v>
                </c:pt>
                <c:pt idx="11">
                  <c:v>4.5999999999999996</c:v>
                </c:pt>
                <c:pt idx="12">
                  <c:v>6.2</c:v>
                </c:pt>
                <c:pt idx="13">
                  <c:v>5.6</c:v>
                </c:pt>
                <c:pt idx="14">
                  <c:v>5.6</c:v>
                </c:pt>
                <c:pt idx="15">
                  <c:v>6.6</c:v>
                </c:pt>
                <c:pt idx="16">
                  <c:v>6.6</c:v>
                </c:pt>
                <c:pt idx="17">
                  <c:v>5.9</c:v>
                </c:pt>
                <c:pt idx="18">
                  <c:v>6.6</c:v>
                </c:pt>
                <c:pt idx="19">
                  <c:v>7.1</c:v>
                </c:pt>
                <c:pt idx="20">
                  <c:v>5.8</c:v>
                </c:pt>
                <c:pt idx="21">
                  <c:v>5</c:v>
                </c:pt>
                <c:pt idx="22">
                  <c:v>6.7</c:v>
                </c:pt>
                <c:pt idx="23">
                  <c:v>6.2</c:v>
                </c:pt>
                <c:pt idx="24">
                  <c:v>6</c:v>
                </c:pt>
                <c:pt idx="25">
                  <c:v>4.5</c:v>
                </c:pt>
                <c:pt idx="26">
                  <c:v>4.5999999999999996</c:v>
                </c:pt>
                <c:pt idx="27">
                  <c:v>6.5</c:v>
                </c:pt>
                <c:pt idx="28">
                  <c:v>6</c:v>
                </c:pt>
                <c:pt idx="29">
                  <c:v>5.2</c:v>
                </c:pt>
                <c:pt idx="30">
                  <c:v>5.0999999999999996</c:v>
                </c:pt>
                <c:pt idx="31">
                  <c:v>4.0999999999999996</c:v>
                </c:pt>
                <c:pt idx="32">
                  <c:v>6</c:v>
                </c:pt>
                <c:pt idx="33">
                  <c:v>8.5</c:v>
                </c:pt>
                <c:pt idx="34">
                  <c:v>13.2</c:v>
                </c:pt>
                <c:pt idx="35">
                  <c:v>6.7</c:v>
                </c:pt>
                <c:pt idx="36">
                  <c:v>5.7</c:v>
                </c:pt>
                <c:pt idx="37">
                  <c:v>9.6</c:v>
                </c:pt>
                <c:pt idx="38">
                  <c:v>6.1</c:v>
                </c:pt>
                <c:pt idx="39">
                  <c:v>0.8</c:v>
                </c:pt>
                <c:pt idx="40">
                  <c:v>3.5</c:v>
                </c:pt>
                <c:pt idx="41">
                  <c:v>3</c:v>
                </c:pt>
                <c:pt idx="42">
                  <c:v>6.2</c:v>
                </c:pt>
                <c:pt idx="43">
                  <c:v>5.2</c:v>
                </c:pt>
                <c:pt idx="44">
                  <c:v>4.5</c:v>
                </c:pt>
                <c:pt idx="45">
                  <c:v>3</c:v>
                </c:pt>
                <c:pt idx="46">
                  <c:v>6.8</c:v>
                </c:pt>
                <c:pt idx="47">
                  <c:v>6.4</c:v>
                </c:pt>
                <c:pt idx="48">
                  <c:v>8.1999999999999993</c:v>
                </c:pt>
                <c:pt idx="49">
                  <c:v>9.1</c:v>
                </c:pt>
                <c:pt idx="50">
                  <c:v>11.6</c:v>
                </c:pt>
                <c:pt idx="51">
                  <c:v>10.3</c:v>
                </c:pt>
                <c:pt idx="52">
                  <c:v>9.3000000000000007</c:v>
                </c:pt>
                <c:pt idx="53">
                  <c:v>8.9</c:v>
                </c:pt>
                <c:pt idx="54">
                  <c:v>8.8000000000000007</c:v>
                </c:pt>
                <c:pt idx="55">
                  <c:v>11.3</c:v>
                </c:pt>
                <c:pt idx="56">
                  <c:v>10.199999999999999</c:v>
                </c:pt>
                <c:pt idx="57">
                  <c:v>7.7</c:v>
                </c:pt>
                <c:pt idx="58">
                  <c:v>6.6</c:v>
                </c:pt>
                <c:pt idx="59">
                  <c:v>8.8000000000000007</c:v>
                </c:pt>
                <c:pt idx="60">
                  <c:v>10.3</c:v>
                </c:pt>
                <c:pt idx="61">
                  <c:v>6.5</c:v>
                </c:pt>
                <c:pt idx="62">
                  <c:v>7.3</c:v>
                </c:pt>
                <c:pt idx="63">
                  <c:v>9.6</c:v>
                </c:pt>
                <c:pt idx="64">
                  <c:v>10.8</c:v>
                </c:pt>
                <c:pt idx="65">
                  <c:v>8.1999999999999993</c:v>
                </c:pt>
                <c:pt idx="66">
                  <c:v>7.3</c:v>
                </c:pt>
                <c:pt idx="67">
                  <c:v>10</c:v>
                </c:pt>
                <c:pt idx="68">
                  <c:v>12.5</c:v>
                </c:pt>
                <c:pt idx="69">
                  <c:v>12.3</c:v>
                </c:pt>
                <c:pt idx="70">
                  <c:v>12.4</c:v>
                </c:pt>
                <c:pt idx="71">
                  <c:v>11.7</c:v>
                </c:pt>
                <c:pt idx="72">
                  <c:v>8.4</c:v>
                </c:pt>
                <c:pt idx="73">
                  <c:v>9.6999999999999993</c:v>
                </c:pt>
                <c:pt idx="74">
                  <c:v>8.9</c:v>
                </c:pt>
                <c:pt idx="75">
                  <c:v>9.1</c:v>
                </c:pt>
                <c:pt idx="76">
                  <c:v>9.6999999999999993</c:v>
                </c:pt>
                <c:pt idx="77">
                  <c:v>13.2</c:v>
                </c:pt>
                <c:pt idx="78">
                  <c:v>15</c:v>
                </c:pt>
                <c:pt idx="79">
                  <c:v>17.7</c:v>
                </c:pt>
                <c:pt idx="80">
                  <c:v>16.2</c:v>
                </c:pt>
                <c:pt idx="81">
                  <c:v>7.1</c:v>
                </c:pt>
                <c:pt idx="82">
                  <c:v>8.1999999999999993</c:v>
                </c:pt>
                <c:pt idx="83">
                  <c:v>9.9</c:v>
                </c:pt>
                <c:pt idx="84">
                  <c:v>11.9</c:v>
                </c:pt>
                <c:pt idx="85">
                  <c:v>14.2</c:v>
                </c:pt>
                <c:pt idx="86">
                  <c:v>13.6</c:v>
                </c:pt>
                <c:pt idx="87">
                  <c:v>7.7</c:v>
                </c:pt>
                <c:pt idx="88">
                  <c:v>8.6999999999999993</c:v>
                </c:pt>
                <c:pt idx="89">
                  <c:v>10.5</c:v>
                </c:pt>
                <c:pt idx="90">
                  <c:v>8.8000000000000007</c:v>
                </c:pt>
                <c:pt idx="91">
                  <c:v>7.2</c:v>
                </c:pt>
                <c:pt idx="92">
                  <c:v>8.1</c:v>
                </c:pt>
                <c:pt idx="93">
                  <c:v>10.6</c:v>
                </c:pt>
                <c:pt idx="94">
                  <c:v>15.4</c:v>
                </c:pt>
                <c:pt idx="95">
                  <c:v>15.9</c:v>
                </c:pt>
                <c:pt idx="96">
                  <c:v>15.5</c:v>
                </c:pt>
                <c:pt idx="97">
                  <c:v>9.3000000000000007</c:v>
                </c:pt>
                <c:pt idx="98">
                  <c:v>10.3</c:v>
                </c:pt>
                <c:pt idx="99">
                  <c:v>5.7</c:v>
                </c:pt>
                <c:pt idx="100">
                  <c:v>10.4</c:v>
                </c:pt>
                <c:pt idx="101">
                  <c:v>9.6</c:v>
                </c:pt>
                <c:pt idx="102">
                  <c:v>12.1</c:v>
                </c:pt>
                <c:pt idx="103">
                  <c:v>14.7</c:v>
                </c:pt>
                <c:pt idx="104">
                  <c:v>16</c:v>
                </c:pt>
                <c:pt idx="105">
                  <c:v>15.3</c:v>
                </c:pt>
                <c:pt idx="106">
                  <c:v>15.5</c:v>
                </c:pt>
                <c:pt idx="107">
                  <c:v>17.5</c:v>
                </c:pt>
                <c:pt idx="108">
                  <c:v>18.3</c:v>
                </c:pt>
                <c:pt idx="109">
                  <c:v>14.2</c:v>
                </c:pt>
                <c:pt idx="110">
                  <c:v>17.5</c:v>
                </c:pt>
                <c:pt idx="111">
                  <c:v>19.2</c:v>
                </c:pt>
                <c:pt idx="112">
                  <c:v>18.7</c:v>
                </c:pt>
                <c:pt idx="113">
                  <c:v>19.100000000000001</c:v>
                </c:pt>
                <c:pt idx="114">
                  <c:v>20.3</c:v>
                </c:pt>
                <c:pt idx="115">
                  <c:v>11.6</c:v>
                </c:pt>
                <c:pt idx="116">
                  <c:v>10.199999999999999</c:v>
                </c:pt>
                <c:pt idx="117">
                  <c:v>12.6</c:v>
                </c:pt>
                <c:pt idx="118">
                  <c:v>14.8</c:v>
                </c:pt>
                <c:pt idx="119">
                  <c:v>14.8</c:v>
                </c:pt>
                <c:pt idx="120">
                  <c:v>17.399999999999999</c:v>
                </c:pt>
                <c:pt idx="121">
                  <c:v>17.3</c:v>
                </c:pt>
                <c:pt idx="122">
                  <c:v>18.5</c:v>
                </c:pt>
                <c:pt idx="123">
                  <c:v>18.399999999999999</c:v>
                </c:pt>
                <c:pt idx="124">
                  <c:v>18.899999999999999</c:v>
                </c:pt>
                <c:pt idx="125">
                  <c:v>18.8</c:v>
                </c:pt>
                <c:pt idx="126">
                  <c:v>15.3</c:v>
                </c:pt>
                <c:pt idx="127">
                  <c:v>16.5</c:v>
                </c:pt>
                <c:pt idx="128">
                  <c:v>18.600000000000001</c:v>
                </c:pt>
                <c:pt idx="129">
                  <c:v>20.6</c:v>
                </c:pt>
                <c:pt idx="130">
                  <c:v>20.9</c:v>
                </c:pt>
                <c:pt idx="131">
                  <c:v>17.600000000000001</c:v>
                </c:pt>
                <c:pt idx="132">
                  <c:v>17.7</c:v>
                </c:pt>
                <c:pt idx="133">
                  <c:v>17.899999999999999</c:v>
                </c:pt>
                <c:pt idx="134">
                  <c:v>18.7</c:v>
                </c:pt>
                <c:pt idx="135">
                  <c:v>20</c:v>
                </c:pt>
                <c:pt idx="136">
                  <c:v>20</c:v>
                </c:pt>
                <c:pt idx="137">
                  <c:v>20.3</c:v>
                </c:pt>
                <c:pt idx="138">
                  <c:v>20.5</c:v>
                </c:pt>
                <c:pt idx="139">
                  <c:v>20.5</c:v>
                </c:pt>
                <c:pt idx="140">
                  <c:v>19.399999999999999</c:v>
                </c:pt>
                <c:pt idx="141">
                  <c:v>19.399999999999999</c:v>
                </c:pt>
                <c:pt idx="142">
                  <c:v>21.3</c:v>
                </c:pt>
                <c:pt idx="143">
                  <c:v>23.1</c:v>
                </c:pt>
                <c:pt idx="144">
                  <c:v>24.4</c:v>
                </c:pt>
                <c:pt idx="145">
                  <c:v>25.2</c:v>
                </c:pt>
                <c:pt idx="146">
                  <c:v>26.1</c:v>
                </c:pt>
                <c:pt idx="147">
                  <c:v>23.5</c:v>
                </c:pt>
                <c:pt idx="148">
                  <c:v>20.2</c:v>
                </c:pt>
                <c:pt idx="149">
                  <c:v>21.2</c:v>
                </c:pt>
                <c:pt idx="150">
                  <c:v>21.6</c:v>
                </c:pt>
                <c:pt idx="151">
                  <c:v>21.8</c:v>
                </c:pt>
                <c:pt idx="152">
                  <c:v>22</c:v>
                </c:pt>
                <c:pt idx="153">
                  <c:v>22.2</c:v>
                </c:pt>
                <c:pt idx="154">
                  <c:v>22.4</c:v>
                </c:pt>
                <c:pt idx="155">
                  <c:v>22.6</c:v>
                </c:pt>
                <c:pt idx="156">
                  <c:v>25.2</c:v>
                </c:pt>
                <c:pt idx="157">
                  <c:v>21</c:v>
                </c:pt>
                <c:pt idx="158">
                  <c:v>20.8</c:v>
                </c:pt>
                <c:pt idx="159">
                  <c:v>17.5</c:v>
                </c:pt>
                <c:pt idx="160">
                  <c:v>16.2</c:v>
                </c:pt>
                <c:pt idx="161">
                  <c:v>18.3</c:v>
                </c:pt>
                <c:pt idx="162">
                  <c:v>18</c:v>
                </c:pt>
                <c:pt idx="163">
                  <c:v>20.7</c:v>
                </c:pt>
                <c:pt idx="164">
                  <c:v>22.2</c:v>
                </c:pt>
                <c:pt idx="165">
                  <c:v>17.3</c:v>
                </c:pt>
                <c:pt idx="166">
                  <c:v>23.5</c:v>
                </c:pt>
                <c:pt idx="167">
                  <c:v>23.6</c:v>
                </c:pt>
                <c:pt idx="168">
                  <c:v>23.4</c:v>
                </c:pt>
                <c:pt idx="169">
                  <c:v>23.5</c:v>
                </c:pt>
                <c:pt idx="170">
                  <c:v>24.1</c:v>
                </c:pt>
                <c:pt idx="171">
                  <c:v>24.6</c:v>
                </c:pt>
                <c:pt idx="172">
                  <c:v>22.2</c:v>
                </c:pt>
                <c:pt idx="173">
                  <c:v>21.4</c:v>
                </c:pt>
                <c:pt idx="174">
                  <c:v>19.100000000000001</c:v>
                </c:pt>
                <c:pt idx="175">
                  <c:v>22.3</c:v>
                </c:pt>
                <c:pt idx="176">
                  <c:v>24.7</c:v>
                </c:pt>
                <c:pt idx="177">
                  <c:v>25.6</c:v>
                </c:pt>
                <c:pt idx="178">
                  <c:v>25.2</c:v>
                </c:pt>
                <c:pt idx="179">
                  <c:v>20.2</c:v>
                </c:pt>
                <c:pt idx="180">
                  <c:v>21.6</c:v>
                </c:pt>
                <c:pt idx="181">
                  <c:v>22.7</c:v>
                </c:pt>
                <c:pt idx="182">
                  <c:v>23.8</c:v>
                </c:pt>
                <c:pt idx="183">
                  <c:v>24.9</c:v>
                </c:pt>
                <c:pt idx="184">
                  <c:v>22.7</c:v>
                </c:pt>
                <c:pt idx="185">
                  <c:v>21.9</c:v>
                </c:pt>
                <c:pt idx="186">
                  <c:v>21</c:v>
                </c:pt>
                <c:pt idx="187">
                  <c:v>19.2</c:v>
                </c:pt>
                <c:pt idx="188">
                  <c:v>20.3</c:v>
                </c:pt>
                <c:pt idx="189">
                  <c:v>19.7</c:v>
                </c:pt>
                <c:pt idx="190">
                  <c:v>21</c:v>
                </c:pt>
                <c:pt idx="191">
                  <c:v>19.899999999999999</c:v>
                </c:pt>
                <c:pt idx="192">
                  <c:v>20.2</c:v>
                </c:pt>
                <c:pt idx="193">
                  <c:v>23.4</c:v>
                </c:pt>
                <c:pt idx="194">
                  <c:v>21.3</c:v>
                </c:pt>
                <c:pt idx="195">
                  <c:v>21.3</c:v>
                </c:pt>
                <c:pt idx="196">
                  <c:v>20.5</c:v>
                </c:pt>
                <c:pt idx="197">
                  <c:v>23.9</c:v>
                </c:pt>
                <c:pt idx="198">
                  <c:v>25.6</c:v>
                </c:pt>
                <c:pt idx="199">
                  <c:v>26.7</c:v>
                </c:pt>
                <c:pt idx="200">
                  <c:v>26.5</c:v>
                </c:pt>
                <c:pt idx="201">
                  <c:v>25</c:v>
                </c:pt>
                <c:pt idx="202">
                  <c:v>22.7</c:v>
                </c:pt>
                <c:pt idx="203">
                  <c:v>24.5</c:v>
                </c:pt>
                <c:pt idx="204">
                  <c:v>26.8</c:v>
                </c:pt>
                <c:pt idx="205">
                  <c:v>28</c:v>
                </c:pt>
                <c:pt idx="206">
                  <c:v>28.5</c:v>
                </c:pt>
                <c:pt idx="207">
                  <c:v>28</c:v>
                </c:pt>
                <c:pt idx="208">
                  <c:v>27.7</c:v>
                </c:pt>
                <c:pt idx="209">
                  <c:v>29</c:v>
                </c:pt>
                <c:pt idx="210">
                  <c:v>29.5</c:v>
                </c:pt>
                <c:pt idx="211">
                  <c:v>30</c:v>
                </c:pt>
                <c:pt idx="212">
                  <c:v>30.5</c:v>
                </c:pt>
                <c:pt idx="213">
                  <c:v>30.2</c:v>
                </c:pt>
                <c:pt idx="214">
                  <c:v>29.4</c:v>
                </c:pt>
                <c:pt idx="215">
                  <c:v>29.4</c:v>
                </c:pt>
                <c:pt idx="216">
                  <c:v>29.8</c:v>
                </c:pt>
                <c:pt idx="217">
                  <c:v>30.3</c:v>
                </c:pt>
                <c:pt idx="218">
                  <c:v>30.4</c:v>
                </c:pt>
                <c:pt idx="219">
                  <c:v>29.9</c:v>
                </c:pt>
                <c:pt idx="220">
                  <c:v>30.1</c:v>
                </c:pt>
                <c:pt idx="221">
                  <c:v>29.6</c:v>
                </c:pt>
                <c:pt idx="222">
                  <c:v>29.4</c:v>
                </c:pt>
                <c:pt idx="223">
                  <c:v>28.8</c:v>
                </c:pt>
                <c:pt idx="224">
                  <c:v>29.3</c:v>
                </c:pt>
                <c:pt idx="225">
                  <c:v>29.2</c:v>
                </c:pt>
                <c:pt idx="226">
                  <c:v>29.2</c:v>
                </c:pt>
                <c:pt idx="227">
                  <c:v>29</c:v>
                </c:pt>
                <c:pt idx="228">
                  <c:v>30.3</c:v>
                </c:pt>
                <c:pt idx="229">
                  <c:v>30.1</c:v>
                </c:pt>
                <c:pt idx="230">
                  <c:v>28.1</c:v>
                </c:pt>
                <c:pt idx="231">
                  <c:v>26.5</c:v>
                </c:pt>
                <c:pt idx="232">
                  <c:v>27</c:v>
                </c:pt>
                <c:pt idx="233">
                  <c:v>26</c:v>
                </c:pt>
                <c:pt idx="234">
                  <c:v>26.3</c:v>
                </c:pt>
                <c:pt idx="235">
                  <c:v>27.3</c:v>
                </c:pt>
                <c:pt idx="236">
                  <c:v>25.8</c:v>
                </c:pt>
                <c:pt idx="237">
                  <c:v>25.3</c:v>
                </c:pt>
                <c:pt idx="238">
                  <c:v>25.3</c:v>
                </c:pt>
                <c:pt idx="239">
                  <c:v>25.6</c:v>
                </c:pt>
                <c:pt idx="240">
                  <c:v>28.9</c:v>
                </c:pt>
                <c:pt idx="241">
                  <c:v>26</c:v>
                </c:pt>
                <c:pt idx="242">
                  <c:v>27.3</c:v>
                </c:pt>
                <c:pt idx="243">
                  <c:v>27.7</c:v>
                </c:pt>
                <c:pt idx="244">
                  <c:v>27.6</c:v>
                </c:pt>
                <c:pt idx="245">
                  <c:v>25.8</c:v>
                </c:pt>
                <c:pt idx="246">
                  <c:v>23.7</c:v>
                </c:pt>
                <c:pt idx="247">
                  <c:v>25.7</c:v>
                </c:pt>
                <c:pt idx="248">
                  <c:v>27.9</c:v>
                </c:pt>
                <c:pt idx="249">
                  <c:v>28.4</c:v>
                </c:pt>
                <c:pt idx="250">
                  <c:v>29.1</c:v>
                </c:pt>
                <c:pt idx="251">
                  <c:v>29</c:v>
                </c:pt>
                <c:pt idx="252">
                  <c:v>29.9</c:v>
                </c:pt>
                <c:pt idx="253">
                  <c:v>27.4</c:v>
                </c:pt>
                <c:pt idx="254">
                  <c:v>25.1</c:v>
                </c:pt>
                <c:pt idx="255">
                  <c:v>22.4</c:v>
                </c:pt>
                <c:pt idx="256">
                  <c:v>22.1</c:v>
                </c:pt>
                <c:pt idx="257">
                  <c:v>25.2</c:v>
                </c:pt>
                <c:pt idx="258">
                  <c:v>22.9</c:v>
                </c:pt>
                <c:pt idx="259">
                  <c:v>25.8</c:v>
                </c:pt>
                <c:pt idx="260">
                  <c:v>21.2</c:v>
                </c:pt>
                <c:pt idx="261">
                  <c:v>22.1</c:v>
                </c:pt>
                <c:pt idx="262">
                  <c:v>22.8</c:v>
                </c:pt>
                <c:pt idx="263">
                  <c:v>21.8</c:v>
                </c:pt>
                <c:pt idx="264">
                  <c:v>22.4</c:v>
                </c:pt>
                <c:pt idx="265">
                  <c:v>26</c:v>
                </c:pt>
                <c:pt idx="266">
                  <c:v>25.4</c:v>
                </c:pt>
                <c:pt idx="267">
                  <c:v>24.3</c:v>
                </c:pt>
                <c:pt idx="268">
                  <c:v>22.8</c:v>
                </c:pt>
                <c:pt idx="269">
                  <c:v>23</c:v>
                </c:pt>
                <c:pt idx="270">
                  <c:v>24.4</c:v>
                </c:pt>
                <c:pt idx="271">
                  <c:v>24.7</c:v>
                </c:pt>
                <c:pt idx="272">
                  <c:v>25.2</c:v>
                </c:pt>
                <c:pt idx="273">
                  <c:v>24.5</c:v>
                </c:pt>
                <c:pt idx="274">
                  <c:v>23.9</c:v>
                </c:pt>
                <c:pt idx="275">
                  <c:v>24.5</c:v>
                </c:pt>
                <c:pt idx="276">
                  <c:v>24.8</c:v>
                </c:pt>
                <c:pt idx="277">
                  <c:v>26.1</c:v>
                </c:pt>
                <c:pt idx="278">
                  <c:v>20.5</c:v>
                </c:pt>
                <c:pt idx="279">
                  <c:v>20</c:v>
                </c:pt>
                <c:pt idx="280">
                  <c:v>21.7</c:v>
                </c:pt>
                <c:pt idx="281">
                  <c:v>20.8</c:v>
                </c:pt>
                <c:pt idx="282">
                  <c:v>19.399999999999999</c:v>
                </c:pt>
                <c:pt idx="283">
                  <c:v>19.600000000000001</c:v>
                </c:pt>
                <c:pt idx="284">
                  <c:v>23.3</c:v>
                </c:pt>
                <c:pt idx="285">
                  <c:v>24.5</c:v>
                </c:pt>
                <c:pt idx="286">
                  <c:v>17</c:v>
                </c:pt>
                <c:pt idx="287">
                  <c:v>18.399999999999999</c:v>
                </c:pt>
                <c:pt idx="288">
                  <c:v>16.100000000000001</c:v>
                </c:pt>
                <c:pt idx="289">
                  <c:v>16.2</c:v>
                </c:pt>
                <c:pt idx="290">
                  <c:v>16.5</c:v>
                </c:pt>
                <c:pt idx="291">
                  <c:v>17.399999999999999</c:v>
                </c:pt>
                <c:pt idx="292">
                  <c:v>20.100000000000001</c:v>
                </c:pt>
                <c:pt idx="293">
                  <c:v>18.2</c:v>
                </c:pt>
                <c:pt idx="294">
                  <c:v>15.4</c:v>
                </c:pt>
                <c:pt idx="295">
                  <c:v>18.5</c:v>
                </c:pt>
                <c:pt idx="296">
                  <c:v>18.100000000000001</c:v>
                </c:pt>
                <c:pt idx="297">
                  <c:v>15.1</c:v>
                </c:pt>
                <c:pt idx="298">
                  <c:v>18.100000000000001</c:v>
                </c:pt>
                <c:pt idx="299">
                  <c:v>18.3</c:v>
                </c:pt>
                <c:pt idx="300">
                  <c:v>17.399999999999999</c:v>
                </c:pt>
                <c:pt idx="301">
                  <c:v>14.5</c:v>
                </c:pt>
                <c:pt idx="302">
                  <c:v>16.5</c:v>
                </c:pt>
                <c:pt idx="303">
                  <c:v>16.8</c:v>
                </c:pt>
                <c:pt idx="304">
                  <c:v>17.399999999999999</c:v>
                </c:pt>
                <c:pt idx="305">
                  <c:v>15.7</c:v>
                </c:pt>
                <c:pt idx="306">
                  <c:v>15.8</c:v>
                </c:pt>
                <c:pt idx="307">
                  <c:v>14.6</c:v>
                </c:pt>
                <c:pt idx="308">
                  <c:v>13.7</c:v>
                </c:pt>
                <c:pt idx="309">
                  <c:v>14.3</c:v>
                </c:pt>
                <c:pt idx="310">
                  <c:v>16</c:v>
                </c:pt>
                <c:pt idx="311">
                  <c:v>15.1</c:v>
                </c:pt>
                <c:pt idx="312">
                  <c:v>13.3</c:v>
                </c:pt>
                <c:pt idx="313">
                  <c:v>13.9</c:v>
                </c:pt>
                <c:pt idx="314">
                  <c:v>12.9</c:v>
                </c:pt>
                <c:pt idx="315">
                  <c:v>15.1</c:v>
                </c:pt>
                <c:pt idx="316">
                  <c:v>13.3</c:v>
                </c:pt>
                <c:pt idx="317">
                  <c:v>16.899999999999999</c:v>
                </c:pt>
                <c:pt idx="318">
                  <c:v>12.6</c:v>
                </c:pt>
                <c:pt idx="319">
                  <c:v>12.8</c:v>
                </c:pt>
                <c:pt idx="320">
                  <c:v>13.4</c:v>
                </c:pt>
                <c:pt idx="321">
                  <c:v>16.100000000000001</c:v>
                </c:pt>
                <c:pt idx="322">
                  <c:v>15.8</c:v>
                </c:pt>
                <c:pt idx="323">
                  <c:v>12</c:v>
                </c:pt>
                <c:pt idx="324">
                  <c:v>11.3</c:v>
                </c:pt>
                <c:pt idx="325">
                  <c:v>8.1</c:v>
                </c:pt>
                <c:pt idx="326">
                  <c:v>11.3</c:v>
                </c:pt>
                <c:pt idx="327">
                  <c:v>15.9</c:v>
                </c:pt>
                <c:pt idx="328">
                  <c:v>16.600000000000001</c:v>
                </c:pt>
                <c:pt idx="329">
                  <c:v>8.8000000000000007</c:v>
                </c:pt>
                <c:pt idx="330">
                  <c:v>9.3000000000000007</c:v>
                </c:pt>
                <c:pt idx="331">
                  <c:v>8.5</c:v>
                </c:pt>
                <c:pt idx="332">
                  <c:v>5.2</c:v>
                </c:pt>
                <c:pt idx="333">
                  <c:v>7.3</c:v>
                </c:pt>
                <c:pt idx="334">
                  <c:v>7.4</c:v>
                </c:pt>
                <c:pt idx="335">
                  <c:v>9.5</c:v>
                </c:pt>
                <c:pt idx="336">
                  <c:v>11.8</c:v>
                </c:pt>
                <c:pt idx="337">
                  <c:v>10.199999999999999</c:v>
                </c:pt>
                <c:pt idx="338">
                  <c:v>9.6</c:v>
                </c:pt>
                <c:pt idx="339">
                  <c:v>8</c:v>
                </c:pt>
                <c:pt idx="340">
                  <c:v>5.5</c:v>
                </c:pt>
                <c:pt idx="341">
                  <c:v>7.4</c:v>
                </c:pt>
                <c:pt idx="342">
                  <c:v>6.4</c:v>
                </c:pt>
                <c:pt idx="343">
                  <c:v>10.199999999999999</c:v>
                </c:pt>
                <c:pt idx="344">
                  <c:v>11.7</c:v>
                </c:pt>
                <c:pt idx="345">
                  <c:v>11.7</c:v>
                </c:pt>
                <c:pt idx="346">
                  <c:v>7.5</c:v>
                </c:pt>
                <c:pt idx="347">
                  <c:v>9.4</c:v>
                </c:pt>
                <c:pt idx="348">
                  <c:v>8.6999999999999993</c:v>
                </c:pt>
                <c:pt idx="349">
                  <c:v>7.8</c:v>
                </c:pt>
                <c:pt idx="350">
                  <c:v>8.1999999999999993</c:v>
                </c:pt>
                <c:pt idx="351">
                  <c:v>11.1</c:v>
                </c:pt>
                <c:pt idx="352">
                  <c:v>9</c:v>
                </c:pt>
                <c:pt idx="353">
                  <c:v>10.6</c:v>
                </c:pt>
                <c:pt idx="354">
                  <c:v>8.1</c:v>
                </c:pt>
                <c:pt idx="355">
                  <c:v>6.8</c:v>
                </c:pt>
                <c:pt idx="356">
                  <c:v>6.8</c:v>
                </c:pt>
                <c:pt idx="357">
                  <c:v>8.1999999999999993</c:v>
                </c:pt>
                <c:pt idx="358">
                  <c:v>5.9</c:v>
                </c:pt>
                <c:pt idx="359">
                  <c:v>7.8</c:v>
                </c:pt>
                <c:pt idx="360">
                  <c:v>8.6999999999999993</c:v>
                </c:pt>
                <c:pt idx="361">
                  <c:v>6.8</c:v>
                </c:pt>
                <c:pt idx="362">
                  <c:v>7</c:v>
                </c:pt>
                <c:pt idx="363">
                  <c:v>6.7</c:v>
                </c:pt>
                <c:pt idx="364">
                  <c:v>8.1999999999999993</c:v>
                </c:pt>
              </c:numCache>
            </c:numRef>
          </c:xVal>
          <c:yVal>
            <c:numRef>
              <c:f>平均気温と売上の関係!$D$3:$D$367</c:f>
              <c:numCache>
                <c:formatCode>General</c:formatCode>
                <c:ptCount val="365"/>
                <c:pt idx="0">
                  <c:v>101</c:v>
                </c:pt>
                <c:pt idx="1">
                  <c:v>119</c:v>
                </c:pt>
                <c:pt idx="2">
                  <c:v>98</c:v>
                </c:pt>
                <c:pt idx="3">
                  <c:v>106</c:v>
                </c:pt>
                <c:pt idx="4">
                  <c:v>174</c:v>
                </c:pt>
                <c:pt idx="5">
                  <c:v>206</c:v>
                </c:pt>
                <c:pt idx="6">
                  <c:v>90</c:v>
                </c:pt>
                <c:pt idx="7">
                  <c:v>110</c:v>
                </c:pt>
                <c:pt idx="8">
                  <c:v>117</c:v>
                </c:pt>
                <c:pt idx="9">
                  <c:v>104</c:v>
                </c:pt>
                <c:pt idx="10">
                  <c:v>117</c:v>
                </c:pt>
                <c:pt idx="11">
                  <c:v>161</c:v>
                </c:pt>
                <c:pt idx="12">
                  <c:v>176</c:v>
                </c:pt>
                <c:pt idx="13">
                  <c:v>87</c:v>
                </c:pt>
                <c:pt idx="14">
                  <c:v>100</c:v>
                </c:pt>
                <c:pt idx="15">
                  <c:v>130</c:v>
                </c:pt>
                <c:pt idx="16">
                  <c:v>117</c:v>
                </c:pt>
                <c:pt idx="17">
                  <c:v>102</c:v>
                </c:pt>
                <c:pt idx="18">
                  <c:v>160</c:v>
                </c:pt>
                <c:pt idx="19">
                  <c:v>187</c:v>
                </c:pt>
                <c:pt idx="20">
                  <c:v>90</c:v>
                </c:pt>
                <c:pt idx="21">
                  <c:v>98</c:v>
                </c:pt>
                <c:pt idx="22">
                  <c:v>139</c:v>
                </c:pt>
                <c:pt idx="23">
                  <c:v>112</c:v>
                </c:pt>
                <c:pt idx="24">
                  <c:v>111</c:v>
                </c:pt>
                <c:pt idx="25">
                  <c:v>152</c:v>
                </c:pt>
                <c:pt idx="26">
                  <c:v>170</c:v>
                </c:pt>
                <c:pt idx="27">
                  <c:v>80</c:v>
                </c:pt>
                <c:pt idx="28">
                  <c:v>115</c:v>
                </c:pt>
                <c:pt idx="29">
                  <c:v>120</c:v>
                </c:pt>
                <c:pt idx="30">
                  <c:v>94</c:v>
                </c:pt>
                <c:pt idx="31">
                  <c:v>97</c:v>
                </c:pt>
                <c:pt idx="32">
                  <c:v>149</c:v>
                </c:pt>
                <c:pt idx="33">
                  <c:v>176</c:v>
                </c:pt>
                <c:pt idx="34">
                  <c:v>114</c:v>
                </c:pt>
                <c:pt idx="35">
                  <c:v>122</c:v>
                </c:pt>
                <c:pt idx="36">
                  <c:v>119</c:v>
                </c:pt>
                <c:pt idx="37">
                  <c:v>123</c:v>
                </c:pt>
                <c:pt idx="38">
                  <c:v>110</c:v>
                </c:pt>
                <c:pt idx="39">
                  <c:v>125</c:v>
                </c:pt>
                <c:pt idx="40">
                  <c:v>162</c:v>
                </c:pt>
                <c:pt idx="41">
                  <c:v>81</c:v>
                </c:pt>
                <c:pt idx="42">
                  <c:v>101</c:v>
                </c:pt>
                <c:pt idx="43">
                  <c:v>124</c:v>
                </c:pt>
                <c:pt idx="44">
                  <c:v>97</c:v>
                </c:pt>
                <c:pt idx="45">
                  <c:v>98</c:v>
                </c:pt>
                <c:pt idx="46">
                  <c:v>166</c:v>
                </c:pt>
                <c:pt idx="47">
                  <c:v>186</c:v>
                </c:pt>
                <c:pt idx="48">
                  <c:v>90</c:v>
                </c:pt>
                <c:pt idx="49">
                  <c:v>127</c:v>
                </c:pt>
                <c:pt idx="50">
                  <c:v>165</c:v>
                </c:pt>
                <c:pt idx="51">
                  <c:v>115</c:v>
                </c:pt>
                <c:pt idx="52">
                  <c:v>125</c:v>
                </c:pt>
                <c:pt idx="53">
                  <c:v>173</c:v>
                </c:pt>
                <c:pt idx="54">
                  <c:v>182</c:v>
                </c:pt>
                <c:pt idx="55">
                  <c:v>109</c:v>
                </c:pt>
                <c:pt idx="56">
                  <c:v>116</c:v>
                </c:pt>
                <c:pt idx="57">
                  <c:v>143</c:v>
                </c:pt>
                <c:pt idx="58">
                  <c:v>86</c:v>
                </c:pt>
                <c:pt idx="59">
                  <c:v>110</c:v>
                </c:pt>
                <c:pt idx="60">
                  <c:v>166</c:v>
                </c:pt>
                <c:pt idx="61">
                  <c:v>158</c:v>
                </c:pt>
                <c:pt idx="62">
                  <c:v>58</c:v>
                </c:pt>
                <c:pt idx="63">
                  <c:v>134</c:v>
                </c:pt>
                <c:pt idx="64">
                  <c:v>150</c:v>
                </c:pt>
                <c:pt idx="65">
                  <c:v>86</c:v>
                </c:pt>
                <c:pt idx="66">
                  <c:v>126</c:v>
                </c:pt>
                <c:pt idx="67">
                  <c:v>154</c:v>
                </c:pt>
                <c:pt idx="68">
                  <c:v>207</c:v>
                </c:pt>
                <c:pt idx="69">
                  <c:v>79</c:v>
                </c:pt>
                <c:pt idx="70">
                  <c:v>132</c:v>
                </c:pt>
                <c:pt idx="71">
                  <c:v>140</c:v>
                </c:pt>
                <c:pt idx="72">
                  <c:v>109</c:v>
                </c:pt>
                <c:pt idx="73">
                  <c:v>120</c:v>
                </c:pt>
                <c:pt idx="74">
                  <c:v>164</c:v>
                </c:pt>
                <c:pt idx="75">
                  <c:v>222</c:v>
                </c:pt>
                <c:pt idx="76">
                  <c:v>100</c:v>
                </c:pt>
                <c:pt idx="77">
                  <c:v>134</c:v>
                </c:pt>
                <c:pt idx="78">
                  <c:v>158</c:v>
                </c:pt>
                <c:pt idx="79">
                  <c:v>140</c:v>
                </c:pt>
                <c:pt idx="80">
                  <c:v>136</c:v>
                </c:pt>
                <c:pt idx="81">
                  <c:v>156</c:v>
                </c:pt>
                <c:pt idx="82">
                  <c:v>218</c:v>
                </c:pt>
                <c:pt idx="83">
                  <c:v>91</c:v>
                </c:pt>
                <c:pt idx="84">
                  <c:v>126</c:v>
                </c:pt>
                <c:pt idx="85">
                  <c:v>162</c:v>
                </c:pt>
                <c:pt idx="86">
                  <c:v>137</c:v>
                </c:pt>
                <c:pt idx="87">
                  <c:v>105</c:v>
                </c:pt>
                <c:pt idx="88">
                  <c:v>171</c:v>
                </c:pt>
                <c:pt idx="89">
                  <c:v>220</c:v>
                </c:pt>
                <c:pt idx="90">
                  <c:v>89</c:v>
                </c:pt>
                <c:pt idx="91">
                  <c:v>126</c:v>
                </c:pt>
                <c:pt idx="92">
                  <c:v>149</c:v>
                </c:pt>
                <c:pt idx="93">
                  <c:v>127</c:v>
                </c:pt>
                <c:pt idx="94">
                  <c:v>130</c:v>
                </c:pt>
                <c:pt idx="95">
                  <c:v>173</c:v>
                </c:pt>
                <c:pt idx="96">
                  <c:v>245</c:v>
                </c:pt>
                <c:pt idx="97">
                  <c:v>96</c:v>
                </c:pt>
                <c:pt idx="98">
                  <c:v>117</c:v>
                </c:pt>
                <c:pt idx="99">
                  <c:v>100</c:v>
                </c:pt>
                <c:pt idx="100">
                  <c:v>121</c:v>
                </c:pt>
                <c:pt idx="101">
                  <c:v>119</c:v>
                </c:pt>
                <c:pt idx="102">
                  <c:v>193</c:v>
                </c:pt>
                <c:pt idx="103">
                  <c:v>202</c:v>
                </c:pt>
                <c:pt idx="104">
                  <c:v>114</c:v>
                </c:pt>
                <c:pt idx="105">
                  <c:v>146</c:v>
                </c:pt>
                <c:pt idx="106">
                  <c:v>165</c:v>
                </c:pt>
                <c:pt idx="107">
                  <c:v>141</c:v>
                </c:pt>
                <c:pt idx="108">
                  <c:v>161</c:v>
                </c:pt>
                <c:pt idx="109">
                  <c:v>202</c:v>
                </c:pt>
                <c:pt idx="110">
                  <c:v>235</c:v>
                </c:pt>
                <c:pt idx="111">
                  <c:v>131</c:v>
                </c:pt>
                <c:pt idx="112">
                  <c:v>162</c:v>
                </c:pt>
                <c:pt idx="113">
                  <c:v>177</c:v>
                </c:pt>
                <c:pt idx="114">
                  <c:v>155</c:v>
                </c:pt>
                <c:pt idx="115">
                  <c:v>131</c:v>
                </c:pt>
                <c:pt idx="116">
                  <c:v>157</c:v>
                </c:pt>
                <c:pt idx="117">
                  <c:v>224</c:v>
                </c:pt>
                <c:pt idx="118">
                  <c:v>126</c:v>
                </c:pt>
                <c:pt idx="119">
                  <c:v>123</c:v>
                </c:pt>
                <c:pt idx="120">
                  <c:v>147</c:v>
                </c:pt>
                <c:pt idx="121">
                  <c:v>157</c:v>
                </c:pt>
                <c:pt idx="122">
                  <c:v>148</c:v>
                </c:pt>
                <c:pt idx="123">
                  <c:v>216</c:v>
                </c:pt>
                <c:pt idx="124">
                  <c:v>218</c:v>
                </c:pt>
                <c:pt idx="125">
                  <c:v>124</c:v>
                </c:pt>
                <c:pt idx="126">
                  <c:v>135</c:v>
                </c:pt>
                <c:pt idx="127">
                  <c:v>178</c:v>
                </c:pt>
                <c:pt idx="128">
                  <c:v>163</c:v>
                </c:pt>
                <c:pt idx="129">
                  <c:v>155</c:v>
                </c:pt>
                <c:pt idx="130">
                  <c:v>217</c:v>
                </c:pt>
                <c:pt idx="131">
                  <c:v>236</c:v>
                </c:pt>
                <c:pt idx="132">
                  <c:v>127</c:v>
                </c:pt>
                <c:pt idx="133">
                  <c:v>139</c:v>
                </c:pt>
                <c:pt idx="134">
                  <c:v>181</c:v>
                </c:pt>
                <c:pt idx="135">
                  <c:v>159</c:v>
                </c:pt>
                <c:pt idx="136">
                  <c:v>162</c:v>
                </c:pt>
                <c:pt idx="137">
                  <c:v>194</c:v>
                </c:pt>
                <c:pt idx="138">
                  <c:v>240</c:v>
                </c:pt>
                <c:pt idx="139">
                  <c:v>134</c:v>
                </c:pt>
                <c:pt idx="140">
                  <c:v>69</c:v>
                </c:pt>
                <c:pt idx="141">
                  <c:v>183</c:v>
                </c:pt>
                <c:pt idx="142">
                  <c:v>151</c:v>
                </c:pt>
                <c:pt idx="143">
                  <c:v>172</c:v>
                </c:pt>
                <c:pt idx="144">
                  <c:v>231</c:v>
                </c:pt>
                <c:pt idx="145">
                  <c:v>248</c:v>
                </c:pt>
                <c:pt idx="146">
                  <c:v>149</c:v>
                </c:pt>
                <c:pt idx="147">
                  <c:v>168</c:v>
                </c:pt>
                <c:pt idx="148">
                  <c:v>174</c:v>
                </c:pt>
                <c:pt idx="149">
                  <c:v>164</c:v>
                </c:pt>
                <c:pt idx="150">
                  <c:v>175</c:v>
                </c:pt>
                <c:pt idx="151">
                  <c:v>207</c:v>
                </c:pt>
                <c:pt idx="152">
                  <c:v>227</c:v>
                </c:pt>
                <c:pt idx="153">
                  <c:v>140</c:v>
                </c:pt>
                <c:pt idx="154">
                  <c:v>168</c:v>
                </c:pt>
                <c:pt idx="155">
                  <c:v>178</c:v>
                </c:pt>
                <c:pt idx="156">
                  <c:v>167</c:v>
                </c:pt>
                <c:pt idx="157">
                  <c:v>137</c:v>
                </c:pt>
                <c:pt idx="158">
                  <c:v>215</c:v>
                </c:pt>
                <c:pt idx="159">
                  <c:v>212</c:v>
                </c:pt>
                <c:pt idx="160">
                  <c:v>31</c:v>
                </c:pt>
                <c:pt idx="161">
                  <c:v>155</c:v>
                </c:pt>
                <c:pt idx="162">
                  <c:v>160</c:v>
                </c:pt>
                <c:pt idx="163">
                  <c:v>151</c:v>
                </c:pt>
                <c:pt idx="164">
                  <c:v>176</c:v>
                </c:pt>
                <c:pt idx="165">
                  <c:v>144</c:v>
                </c:pt>
                <c:pt idx="166">
                  <c:v>234</c:v>
                </c:pt>
                <c:pt idx="167">
                  <c:v>155</c:v>
                </c:pt>
                <c:pt idx="168">
                  <c:v>181</c:v>
                </c:pt>
                <c:pt idx="169">
                  <c:v>190</c:v>
                </c:pt>
                <c:pt idx="170">
                  <c:v>183</c:v>
                </c:pt>
                <c:pt idx="171">
                  <c:v>184</c:v>
                </c:pt>
                <c:pt idx="172">
                  <c:v>219</c:v>
                </c:pt>
                <c:pt idx="173">
                  <c:v>245</c:v>
                </c:pt>
                <c:pt idx="174">
                  <c:v>102</c:v>
                </c:pt>
                <c:pt idx="175">
                  <c:v>157</c:v>
                </c:pt>
                <c:pt idx="176">
                  <c:v>191</c:v>
                </c:pt>
                <c:pt idx="177">
                  <c:v>169</c:v>
                </c:pt>
                <c:pt idx="178">
                  <c:v>183</c:v>
                </c:pt>
                <c:pt idx="179">
                  <c:v>203</c:v>
                </c:pt>
                <c:pt idx="180">
                  <c:v>240</c:v>
                </c:pt>
                <c:pt idx="181">
                  <c:v>135</c:v>
                </c:pt>
                <c:pt idx="182">
                  <c:v>185</c:v>
                </c:pt>
                <c:pt idx="183">
                  <c:v>204</c:v>
                </c:pt>
                <c:pt idx="184">
                  <c:v>167</c:v>
                </c:pt>
                <c:pt idx="185">
                  <c:v>160</c:v>
                </c:pt>
                <c:pt idx="186">
                  <c:v>194</c:v>
                </c:pt>
                <c:pt idx="187">
                  <c:v>214</c:v>
                </c:pt>
                <c:pt idx="188">
                  <c:v>146</c:v>
                </c:pt>
                <c:pt idx="189">
                  <c:v>165</c:v>
                </c:pt>
                <c:pt idx="190">
                  <c:v>197</c:v>
                </c:pt>
                <c:pt idx="191">
                  <c:v>163</c:v>
                </c:pt>
                <c:pt idx="192">
                  <c:v>151</c:v>
                </c:pt>
                <c:pt idx="193">
                  <c:v>202</c:v>
                </c:pt>
                <c:pt idx="194">
                  <c:v>225</c:v>
                </c:pt>
                <c:pt idx="195">
                  <c:v>133</c:v>
                </c:pt>
                <c:pt idx="196">
                  <c:v>138</c:v>
                </c:pt>
                <c:pt idx="197">
                  <c:v>182</c:v>
                </c:pt>
                <c:pt idx="198">
                  <c:v>165</c:v>
                </c:pt>
                <c:pt idx="199">
                  <c:v>167</c:v>
                </c:pt>
                <c:pt idx="200">
                  <c:v>230</c:v>
                </c:pt>
                <c:pt idx="201">
                  <c:v>250</c:v>
                </c:pt>
                <c:pt idx="202">
                  <c:v>148</c:v>
                </c:pt>
                <c:pt idx="203">
                  <c:v>169</c:v>
                </c:pt>
                <c:pt idx="204">
                  <c:v>198</c:v>
                </c:pt>
                <c:pt idx="205">
                  <c:v>192</c:v>
                </c:pt>
                <c:pt idx="206">
                  <c:v>184</c:v>
                </c:pt>
                <c:pt idx="207">
                  <c:v>230</c:v>
                </c:pt>
                <c:pt idx="208">
                  <c:v>267</c:v>
                </c:pt>
                <c:pt idx="209">
                  <c:v>173</c:v>
                </c:pt>
                <c:pt idx="210">
                  <c:v>190</c:v>
                </c:pt>
                <c:pt idx="211">
                  <c:v>215</c:v>
                </c:pt>
                <c:pt idx="212">
                  <c:v>203</c:v>
                </c:pt>
                <c:pt idx="213">
                  <c:v>189</c:v>
                </c:pt>
                <c:pt idx="214">
                  <c:v>252</c:v>
                </c:pt>
                <c:pt idx="215">
                  <c:v>269</c:v>
                </c:pt>
                <c:pt idx="216">
                  <c:v>165</c:v>
                </c:pt>
                <c:pt idx="217">
                  <c:v>190</c:v>
                </c:pt>
                <c:pt idx="218">
                  <c:v>223</c:v>
                </c:pt>
                <c:pt idx="219">
                  <c:v>186</c:v>
                </c:pt>
                <c:pt idx="220">
                  <c:v>187</c:v>
                </c:pt>
                <c:pt idx="221">
                  <c:v>239</c:v>
                </c:pt>
                <c:pt idx="222">
                  <c:v>276</c:v>
                </c:pt>
                <c:pt idx="223">
                  <c:v>161</c:v>
                </c:pt>
                <c:pt idx="224">
                  <c:v>184</c:v>
                </c:pt>
                <c:pt idx="225">
                  <c:v>215</c:v>
                </c:pt>
                <c:pt idx="226">
                  <c:v>166</c:v>
                </c:pt>
                <c:pt idx="227">
                  <c:v>198</c:v>
                </c:pt>
                <c:pt idx="228">
                  <c:v>242</c:v>
                </c:pt>
                <c:pt idx="229">
                  <c:v>291</c:v>
                </c:pt>
                <c:pt idx="230">
                  <c:v>168</c:v>
                </c:pt>
                <c:pt idx="231">
                  <c:v>182</c:v>
                </c:pt>
                <c:pt idx="232">
                  <c:v>210</c:v>
                </c:pt>
                <c:pt idx="233">
                  <c:v>169</c:v>
                </c:pt>
                <c:pt idx="234">
                  <c:v>176</c:v>
                </c:pt>
                <c:pt idx="235">
                  <c:v>236</c:v>
                </c:pt>
                <c:pt idx="236">
                  <c:v>259</c:v>
                </c:pt>
                <c:pt idx="237">
                  <c:v>158</c:v>
                </c:pt>
                <c:pt idx="238">
                  <c:v>182</c:v>
                </c:pt>
                <c:pt idx="239">
                  <c:v>194</c:v>
                </c:pt>
                <c:pt idx="240">
                  <c:v>182</c:v>
                </c:pt>
                <c:pt idx="241">
                  <c:v>174</c:v>
                </c:pt>
                <c:pt idx="242">
                  <c:v>223</c:v>
                </c:pt>
                <c:pt idx="243">
                  <c:v>260</c:v>
                </c:pt>
                <c:pt idx="244">
                  <c:v>163</c:v>
                </c:pt>
                <c:pt idx="245">
                  <c:v>174</c:v>
                </c:pt>
                <c:pt idx="246">
                  <c:v>198</c:v>
                </c:pt>
                <c:pt idx="247">
                  <c:v>183</c:v>
                </c:pt>
                <c:pt idx="248">
                  <c:v>196</c:v>
                </c:pt>
                <c:pt idx="249">
                  <c:v>239</c:v>
                </c:pt>
                <c:pt idx="250">
                  <c:v>242</c:v>
                </c:pt>
                <c:pt idx="251">
                  <c:v>42</c:v>
                </c:pt>
                <c:pt idx="252">
                  <c:v>185</c:v>
                </c:pt>
                <c:pt idx="253">
                  <c:v>210</c:v>
                </c:pt>
                <c:pt idx="254">
                  <c:v>173</c:v>
                </c:pt>
                <c:pt idx="255">
                  <c:v>160</c:v>
                </c:pt>
                <c:pt idx="256">
                  <c:v>224</c:v>
                </c:pt>
                <c:pt idx="257">
                  <c:v>276</c:v>
                </c:pt>
                <c:pt idx="258">
                  <c:v>122</c:v>
                </c:pt>
                <c:pt idx="259">
                  <c:v>169</c:v>
                </c:pt>
                <c:pt idx="260">
                  <c:v>164</c:v>
                </c:pt>
                <c:pt idx="261">
                  <c:v>172</c:v>
                </c:pt>
                <c:pt idx="262">
                  <c:v>158</c:v>
                </c:pt>
                <c:pt idx="263">
                  <c:v>210</c:v>
                </c:pt>
                <c:pt idx="264">
                  <c:v>235</c:v>
                </c:pt>
                <c:pt idx="265">
                  <c:v>152</c:v>
                </c:pt>
                <c:pt idx="266">
                  <c:v>180</c:v>
                </c:pt>
                <c:pt idx="267">
                  <c:v>208</c:v>
                </c:pt>
                <c:pt idx="268">
                  <c:v>181</c:v>
                </c:pt>
                <c:pt idx="269">
                  <c:v>176</c:v>
                </c:pt>
                <c:pt idx="270">
                  <c:v>213</c:v>
                </c:pt>
                <c:pt idx="271">
                  <c:v>256</c:v>
                </c:pt>
                <c:pt idx="272">
                  <c:v>162</c:v>
                </c:pt>
                <c:pt idx="273">
                  <c:v>174</c:v>
                </c:pt>
                <c:pt idx="274">
                  <c:v>193</c:v>
                </c:pt>
                <c:pt idx="275">
                  <c:v>171</c:v>
                </c:pt>
                <c:pt idx="276">
                  <c:v>161</c:v>
                </c:pt>
                <c:pt idx="277">
                  <c:v>236</c:v>
                </c:pt>
                <c:pt idx="278">
                  <c:v>217</c:v>
                </c:pt>
                <c:pt idx="279">
                  <c:v>138</c:v>
                </c:pt>
                <c:pt idx="280">
                  <c:v>166</c:v>
                </c:pt>
                <c:pt idx="281">
                  <c:v>196</c:v>
                </c:pt>
                <c:pt idx="282">
                  <c:v>154</c:v>
                </c:pt>
                <c:pt idx="283">
                  <c:v>150</c:v>
                </c:pt>
                <c:pt idx="284">
                  <c:v>0</c:v>
                </c:pt>
                <c:pt idx="285">
                  <c:v>249</c:v>
                </c:pt>
                <c:pt idx="286">
                  <c:v>124</c:v>
                </c:pt>
                <c:pt idx="287">
                  <c:v>146</c:v>
                </c:pt>
                <c:pt idx="288">
                  <c:v>170</c:v>
                </c:pt>
                <c:pt idx="289">
                  <c:v>147</c:v>
                </c:pt>
                <c:pt idx="290">
                  <c:v>135</c:v>
                </c:pt>
                <c:pt idx="291">
                  <c:v>123</c:v>
                </c:pt>
                <c:pt idx="292">
                  <c:v>252</c:v>
                </c:pt>
                <c:pt idx="293">
                  <c:v>115</c:v>
                </c:pt>
                <c:pt idx="294">
                  <c:v>84</c:v>
                </c:pt>
                <c:pt idx="295">
                  <c:v>184</c:v>
                </c:pt>
                <c:pt idx="296">
                  <c:v>139</c:v>
                </c:pt>
                <c:pt idx="297">
                  <c:v>7</c:v>
                </c:pt>
                <c:pt idx="298">
                  <c:v>206</c:v>
                </c:pt>
                <c:pt idx="299">
                  <c:v>249</c:v>
                </c:pt>
                <c:pt idx="300">
                  <c:v>132</c:v>
                </c:pt>
                <c:pt idx="301">
                  <c:v>116</c:v>
                </c:pt>
                <c:pt idx="302">
                  <c:v>182</c:v>
                </c:pt>
                <c:pt idx="303">
                  <c:v>146</c:v>
                </c:pt>
                <c:pt idx="304">
                  <c:v>153</c:v>
                </c:pt>
                <c:pt idx="305">
                  <c:v>198</c:v>
                </c:pt>
                <c:pt idx="306">
                  <c:v>213</c:v>
                </c:pt>
                <c:pt idx="307">
                  <c:v>115</c:v>
                </c:pt>
                <c:pt idx="308">
                  <c:v>128</c:v>
                </c:pt>
                <c:pt idx="309">
                  <c:v>160</c:v>
                </c:pt>
                <c:pt idx="310">
                  <c:v>136</c:v>
                </c:pt>
                <c:pt idx="311">
                  <c:v>132</c:v>
                </c:pt>
                <c:pt idx="312">
                  <c:v>168</c:v>
                </c:pt>
                <c:pt idx="313">
                  <c:v>238</c:v>
                </c:pt>
                <c:pt idx="314">
                  <c:v>113</c:v>
                </c:pt>
                <c:pt idx="315">
                  <c:v>145</c:v>
                </c:pt>
                <c:pt idx="316">
                  <c:v>152</c:v>
                </c:pt>
                <c:pt idx="317">
                  <c:v>140</c:v>
                </c:pt>
                <c:pt idx="318">
                  <c:v>136</c:v>
                </c:pt>
                <c:pt idx="319">
                  <c:v>168</c:v>
                </c:pt>
                <c:pt idx="320">
                  <c:v>226</c:v>
                </c:pt>
                <c:pt idx="321">
                  <c:v>114</c:v>
                </c:pt>
                <c:pt idx="322">
                  <c:v>152</c:v>
                </c:pt>
                <c:pt idx="323">
                  <c:v>166</c:v>
                </c:pt>
                <c:pt idx="324">
                  <c:v>134</c:v>
                </c:pt>
                <c:pt idx="325">
                  <c:v>62</c:v>
                </c:pt>
                <c:pt idx="326">
                  <c:v>117</c:v>
                </c:pt>
                <c:pt idx="327">
                  <c:v>226</c:v>
                </c:pt>
                <c:pt idx="328">
                  <c:v>128</c:v>
                </c:pt>
                <c:pt idx="329">
                  <c:v>113</c:v>
                </c:pt>
                <c:pt idx="330">
                  <c:v>128</c:v>
                </c:pt>
                <c:pt idx="331">
                  <c:v>109</c:v>
                </c:pt>
                <c:pt idx="332">
                  <c:v>96</c:v>
                </c:pt>
                <c:pt idx="333">
                  <c:v>143</c:v>
                </c:pt>
                <c:pt idx="334">
                  <c:v>211</c:v>
                </c:pt>
                <c:pt idx="335">
                  <c:v>60</c:v>
                </c:pt>
                <c:pt idx="336">
                  <c:v>129</c:v>
                </c:pt>
                <c:pt idx="337">
                  <c:v>162</c:v>
                </c:pt>
                <c:pt idx="338">
                  <c:v>115</c:v>
                </c:pt>
                <c:pt idx="339">
                  <c:v>112</c:v>
                </c:pt>
                <c:pt idx="340">
                  <c:v>143</c:v>
                </c:pt>
                <c:pt idx="341">
                  <c:v>196</c:v>
                </c:pt>
                <c:pt idx="342">
                  <c:v>80</c:v>
                </c:pt>
                <c:pt idx="343">
                  <c:v>113</c:v>
                </c:pt>
                <c:pt idx="344">
                  <c:v>156</c:v>
                </c:pt>
                <c:pt idx="345">
                  <c:v>144</c:v>
                </c:pt>
                <c:pt idx="346">
                  <c:v>108</c:v>
                </c:pt>
                <c:pt idx="347">
                  <c:v>169</c:v>
                </c:pt>
                <c:pt idx="348">
                  <c:v>212</c:v>
                </c:pt>
                <c:pt idx="349">
                  <c:v>83</c:v>
                </c:pt>
                <c:pt idx="350">
                  <c:v>126</c:v>
                </c:pt>
                <c:pt idx="351">
                  <c:v>151</c:v>
                </c:pt>
                <c:pt idx="352">
                  <c:v>121</c:v>
                </c:pt>
                <c:pt idx="353">
                  <c:v>128</c:v>
                </c:pt>
                <c:pt idx="354">
                  <c:v>165</c:v>
                </c:pt>
                <c:pt idx="355">
                  <c:v>157</c:v>
                </c:pt>
                <c:pt idx="356">
                  <c:v>77</c:v>
                </c:pt>
                <c:pt idx="357">
                  <c:v>120</c:v>
                </c:pt>
                <c:pt idx="358">
                  <c:v>143</c:v>
                </c:pt>
                <c:pt idx="359">
                  <c:v>107</c:v>
                </c:pt>
                <c:pt idx="360">
                  <c:v>125</c:v>
                </c:pt>
                <c:pt idx="361">
                  <c:v>168</c:v>
                </c:pt>
                <c:pt idx="362">
                  <c:v>199</c:v>
                </c:pt>
                <c:pt idx="363">
                  <c:v>88</c:v>
                </c:pt>
                <c:pt idx="364">
                  <c:v>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2B-3947-8AA9-B02E5D360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381231"/>
        <c:axId val="1249672719"/>
      </c:scatterChart>
      <c:valAx>
        <c:axId val="124938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気温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9672719"/>
        <c:crosses val="autoZero"/>
        <c:crossBetween val="midCat"/>
      </c:valAx>
      <c:valAx>
        <c:axId val="124967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売上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9381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平均気温と降水量の関係!$D$2</c:f>
              <c:strCache>
                <c:ptCount val="1"/>
                <c:pt idx="0">
                  <c:v>売上個数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平均気温と降水量の関係!$C$3:$C$367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15.5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15</c:v>
                </c:pt>
                <c:pt idx="37">
                  <c:v>0</c:v>
                </c:pt>
                <c:pt idx="38">
                  <c:v>0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1.5</c:v>
                </c:pt>
                <c:pt idx="50">
                  <c:v>0.5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0.5</c:v>
                </c:pt>
                <c:pt idx="58">
                  <c:v>22.5</c:v>
                </c:pt>
                <c:pt idx="59">
                  <c:v>1.5</c:v>
                </c:pt>
                <c:pt idx="60">
                  <c:v>0</c:v>
                </c:pt>
                <c:pt idx="61">
                  <c:v>13.5</c:v>
                </c:pt>
                <c:pt idx="62">
                  <c:v>27.5</c:v>
                </c:pt>
                <c:pt idx="63">
                  <c:v>0.5</c:v>
                </c:pt>
                <c:pt idx="64">
                  <c:v>3</c:v>
                </c:pt>
                <c:pt idx="65">
                  <c:v>28</c:v>
                </c:pt>
                <c:pt idx="66">
                  <c:v>0</c:v>
                </c:pt>
                <c:pt idx="67">
                  <c:v>0</c:v>
                </c:pt>
                <c:pt idx="68">
                  <c:v>6.5</c:v>
                </c:pt>
                <c:pt idx="69">
                  <c:v>32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3.5</c:v>
                </c:pt>
                <c:pt idx="89">
                  <c:v>1.5</c:v>
                </c:pt>
                <c:pt idx="90">
                  <c:v>5.5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11</c:v>
                </c:pt>
                <c:pt idx="98">
                  <c:v>0</c:v>
                </c:pt>
                <c:pt idx="99">
                  <c:v>29.5</c:v>
                </c:pt>
                <c:pt idx="100">
                  <c:v>1.5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</c:v>
                </c:pt>
                <c:pt idx="114">
                  <c:v>4</c:v>
                </c:pt>
                <c:pt idx="115">
                  <c:v>4.5</c:v>
                </c:pt>
                <c:pt idx="116">
                  <c:v>6.5</c:v>
                </c:pt>
                <c:pt idx="117">
                  <c:v>0</c:v>
                </c:pt>
                <c:pt idx="118">
                  <c:v>0</c:v>
                </c:pt>
                <c:pt idx="119">
                  <c:v>20</c:v>
                </c:pt>
                <c:pt idx="120">
                  <c:v>26</c:v>
                </c:pt>
                <c:pt idx="121">
                  <c:v>3.5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82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</c:v>
                </c:pt>
                <c:pt idx="148">
                  <c:v>7.5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19.5</c:v>
                </c:pt>
                <c:pt idx="158">
                  <c:v>0</c:v>
                </c:pt>
                <c:pt idx="159">
                  <c:v>10</c:v>
                </c:pt>
                <c:pt idx="160">
                  <c:v>92.5</c:v>
                </c:pt>
                <c:pt idx="161">
                  <c:v>1</c:v>
                </c:pt>
                <c:pt idx="162">
                  <c:v>0.5</c:v>
                </c:pt>
                <c:pt idx="163">
                  <c:v>0</c:v>
                </c:pt>
                <c:pt idx="164">
                  <c:v>0</c:v>
                </c:pt>
                <c:pt idx="165">
                  <c:v>51</c:v>
                </c:pt>
                <c:pt idx="166">
                  <c:v>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6</c:v>
                </c:pt>
                <c:pt idx="173">
                  <c:v>0</c:v>
                </c:pt>
                <c:pt idx="174">
                  <c:v>25.5</c:v>
                </c:pt>
                <c:pt idx="175">
                  <c:v>0</c:v>
                </c:pt>
                <c:pt idx="176">
                  <c:v>0</c:v>
                </c:pt>
                <c:pt idx="177">
                  <c:v>2</c:v>
                </c:pt>
                <c:pt idx="178">
                  <c:v>3.5</c:v>
                </c:pt>
                <c:pt idx="179">
                  <c:v>3</c:v>
                </c:pt>
                <c:pt idx="180">
                  <c:v>5.5</c:v>
                </c:pt>
                <c:pt idx="181">
                  <c:v>1.5</c:v>
                </c:pt>
                <c:pt idx="182">
                  <c:v>0.5</c:v>
                </c:pt>
                <c:pt idx="183">
                  <c:v>1</c:v>
                </c:pt>
                <c:pt idx="184">
                  <c:v>10.5</c:v>
                </c:pt>
                <c:pt idx="185">
                  <c:v>4.5</c:v>
                </c:pt>
                <c:pt idx="186">
                  <c:v>14.5</c:v>
                </c:pt>
                <c:pt idx="187">
                  <c:v>22.5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2</c:v>
                </c:pt>
                <c:pt idx="192">
                  <c:v>12.5</c:v>
                </c:pt>
                <c:pt idx="193">
                  <c:v>0.5</c:v>
                </c:pt>
                <c:pt idx="194">
                  <c:v>39</c:v>
                </c:pt>
                <c:pt idx="195">
                  <c:v>7</c:v>
                </c:pt>
                <c:pt idx="196">
                  <c:v>33.5</c:v>
                </c:pt>
                <c:pt idx="197">
                  <c:v>0.5</c:v>
                </c:pt>
                <c:pt idx="198">
                  <c:v>9.5</c:v>
                </c:pt>
                <c:pt idx="199">
                  <c:v>3.5</c:v>
                </c:pt>
                <c:pt idx="200">
                  <c:v>0</c:v>
                </c:pt>
                <c:pt idx="201">
                  <c:v>0</c:v>
                </c:pt>
                <c:pt idx="202">
                  <c:v>0.5</c:v>
                </c:pt>
                <c:pt idx="203">
                  <c:v>4</c:v>
                </c:pt>
                <c:pt idx="204">
                  <c:v>6</c:v>
                </c:pt>
                <c:pt idx="205">
                  <c:v>0</c:v>
                </c:pt>
                <c:pt idx="206">
                  <c:v>0.5</c:v>
                </c:pt>
                <c:pt idx="207">
                  <c:v>4</c:v>
                </c:pt>
                <c:pt idx="208">
                  <c:v>15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0.5</c:v>
                </c:pt>
                <c:pt idx="224">
                  <c:v>0</c:v>
                </c:pt>
                <c:pt idx="225">
                  <c:v>8.5</c:v>
                </c:pt>
                <c:pt idx="226">
                  <c:v>20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0.5</c:v>
                </c:pt>
                <c:pt idx="231">
                  <c:v>13</c:v>
                </c:pt>
                <c:pt idx="232">
                  <c:v>3</c:v>
                </c:pt>
                <c:pt idx="233">
                  <c:v>20</c:v>
                </c:pt>
                <c:pt idx="234">
                  <c:v>4.5</c:v>
                </c:pt>
                <c:pt idx="235">
                  <c:v>0</c:v>
                </c:pt>
                <c:pt idx="236">
                  <c:v>15</c:v>
                </c:pt>
                <c:pt idx="237">
                  <c:v>0</c:v>
                </c:pt>
                <c:pt idx="238">
                  <c:v>6</c:v>
                </c:pt>
                <c:pt idx="239">
                  <c:v>7</c:v>
                </c:pt>
                <c:pt idx="240">
                  <c:v>0</c:v>
                </c:pt>
                <c:pt idx="241">
                  <c:v>12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1.5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8.5</c:v>
                </c:pt>
                <c:pt idx="251">
                  <c:v>119</c:v>
                </c:pt>
                <c:pt idx="252">
                  <c:v>0.5</c:v>
                </c:pt>
                <c:pt idx="253">
                  <c:v>7.5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0.5</c:v>
                </c:pt>
                <c:pt idx="258">
                  <c:v>28.5</c:v>
                </c:pt>
                <c:pt idx="259">
                  <c:v>0</c:v>
                </c:pt>
                <c:pt idx="260">
                  <c:v>9.5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17</c:v>
                </c:pt>
                <c:pt idx="265">
                  <c:v>3.5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10</c:v>
                </c:pt>
                <c:pt idx="277">
                  <c:v>0</c:v>
                </c:pt>
                <c:pt idx="278">
                  <c:v>5.5</c:v>
                </c:pt>
                <c:pt idx="279">
                  <c:v>7</c:v>
                </c:pt>
                <c:pt idx="280">
                  <c:v>5.5</c:v>
                </c:pt>
                <c:pt idx="281">
                  <c:v>0</c:v>
                </c:pt>
                <c:pt idx="282">
                  <c:v>9</c:v>
                </c:pt>
                <c:pt idx="283">
                  <c:v>7.5</c:v>
                </c:pt>
                <c:pt idx="284">
                  <c:v>209.5</c:v>
                </c:pt>
                <c:pt idx="285">
                  <c:v>0</c:v>
                </c:pt>
                <c:pt idx="286">
                  <c:v>5</c:v>
                </c:pt>
                <c:pt idx="287">
                  <c:v>0</c:v>
                </c:pt>
                <c:pt idx="288">
                  <c:v>0</c:v>
                </c:pt>
                <c:pt idx="289">
                  <c:v>4.5</c:v>
                </c:pt>
                <c:pt idx="290">
                  <c:v>5.5</c:v>
                </c:pt>
                <c:pt idx="291">
                  <c:v>53.5</c:v>
                </c:pt>
                <c:pt idx="292">
                  <c:v>0</c:v>
                </c:pt>
                <c:pt idx="293">
                  <c:v>6.5</c:v>
                </c:pt>
                <c:pt idx="294">
                  <c:v>65</c:v>
                </c:pt>
                <c:pt idx="295">
                  <c:v>0</c:v>
                </c:pt>
                <c:pt idx="296">
                  <c:v>3</c:v>
                </c:pt>
                <c:pt idx="297">
                  <c:v>120.5</c:v>
                </c:pt>
                <c:pt idx="298">
                  <c:v>0.5</c:v>
                </c:pt>
                <c:pt idx="299">
                  <c:v>0</c:v>
                </c:pt>
                <c:pt idx="300">
                  <c:v>0</c:v>
                </c:pt>
                <c:pt idx="301">
                  <c:v>11.5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10.5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6.5</c:v>
                </c:pt>
                <c:pt idx="315">
                  <c:v>0</c:v>
                </c:pt>
                <c:pt idx="316">
                  <c:v>0.5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3</c:v>
                </c:pt>
                <c:pt idx="323">
                  <c:v>0</c:v>
                </c:pt>
                <c:pt idx="324">
                  <c:v>0</c:v>
                </c:pt>
                <c:pt idx="325">
                  <c:v>47</c:v>
                </c:pt>
                <c:pt idx="326">
                  <c:v>60.5</c:v>
                </c:pt>
                <c:pt idx="327">
                  <c:v>19</c:v>
                </c:pt>
                <c:pt idx="328">
                  <c:v>1</c:v>
                </c:pt>
                <c:pt idx="329">
                  <c:v>1.5</c:v>
                </c:pt>
                <c:pt idx="330">
                  <c:v>2.5</c:v>
                </c:pt>
                <c:pt idx="331">
                  <c:v>3.5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36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1.5</c:v>
                </c:pt>
                <c:pt idx="341">
                  <c:v>0</c:v>
                </c:pt>
                <c:pt idx="342">
                  <c:v>1</c:v>
                </c:pt>
                <c:pt idx="343">
                  <c:v>5.5</c:v>
                </c:pt>
                <c:pt idx="344">
                  <c:v>0.5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16.5</c:v>
                </c:pt>
                <c:pt idx="356">
                  <c:v>13.5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0.5</c:v>
                </c:pt>
                <c:pt idx="361">
                  <c:v>0</c:v>
                </c:pt>
                <c:pt idx="362">
                  <c:v>0</c:v>
                </c:pt>
                <c:pt idx="363">
                  <c:v>0.5</c:v>
                </c:pt>
                <c:pt idx="364">
                  <c:v>0</c:v>
                </c:pt>
              </c:numCache>
            </c:numRef>
          </c:xVal>
          <c:yVal>
            <c:numRef>
              <c:f>平均気温と降水量の関係!$D$3:$D$367</c:f>
              <c:numCache>
                <c:formatCode>General</c:formatCode>
                <c:ptCount val="365"/>
                <c:pt idx="0">
                  <c:v>101</c:v>
                </c:pt>
                <c:pt idx="1">
                  <c:v>119</c:v>
                </c:pt>
                <c:pt idx="2">
                  <c:v>98</c:v>
                </c:pt>
                <c:pt idx="3">
                  <c:v>106</c:v>
                </c:pt>
                <c:pt idx="4">
                  <c:v>174</c:v>
                </c:pt>
                <c:pt idx="5">
                  <c:v>206</c:v>
                </c:pt>
                <c:pt idx="6">
                  <c:v>90</c:v>
                </c:pt>
                <c:pt idx="7">
                  <c:v>110</c:v>
                </c:pt>
                <c:pt idx="8">
                  <c:v>117</c:v>
                </c:pt>
                <c:pt idx="9">
                  <c:v>104</c:v>
                </c:pt>
                <c:pt idx="10">
                  <c:v>117</c:v>
                </c:pt>
                <c:pt idx="11">
                  <c:v>161</c:v>
                </c:pt>
                <c:pt idx="12">
                  <c:v>176</c:v>
                </c:pt>
                <c:pt idx="13">
                  <c:v>87</c:v>
                </c:pt>
                <c:pt idx="14">
                  <c:v>100</c:v>
                </c:pt>
                <c:pt idx="15">
                  <c:v>130</c:v>
                </c:pt>
                <c:pt idx="16">
                  <c:v>117</c:v>
                </c:pt>
                <c:pt idx="17">
                  <c:v>102</c:v>
                </c:pt>
                <c:pt idx="18">
                  <c:v>160</c:v>
                </c:pt>
                <c:pt idx="19">
                  <c:v>187</c:v>
                </c:pt>
                <c:pt idx="20">
                  <c:v>90</c:v>
                </c:pt>
                <c:pt idx="21">
                  <c:v>98</c:v>
                </c:pt>
                <c:pt idx="22">
                  <c:v>139</c:v>
                </c:pt>
                <c:pt idx="23">
                  <c:v>112</c:v>
                </c:pt>
                <c:pt idx="24">
                  <c:v>111</c:v>
                </c:pt>
                <c:pt idx="25">
                  <c:v>152</c:v>
                </c:pt>
                <c:pt idx="26">
                  <c:v>170</c:v>
                </c:pt>
                <c:pt idx="27">
                  <c:v>80</c:v>
                </c:pt>
                <c:pt idx="28">
                  <c:v>115</c:v>
                </c:pt>
                <c:pt idx="29">
                  <c:v>120</c:v>
                </c:pt>
                <c:pt idx="30">
                  <c:v>94</c:v>
                </c:pt>
                <c:pt idx="31">
                  <c:v>97</c:v>
                </c:pt>
                <c:pt idx="32">
                  <c:v>149</c:v>
                </c:pt>
                <c:pt idx="33">
                  <c:v>176</c:v>
                </c:pt>
                <c:pt idx="34">
                  <c:v>114</c:v>
                </c:pt>
                <c:pt idx="35">
                  <c:v>122</c:v>
                </c:pt>
                <c:pt idx="36">
                  <c:v>119</c:v>
                </c:pt>
                <c:pt idx="37">
                  <c:v>123</c:v>
                </c:pt>
                <c:pt idx="38">
                  <c:v>110</c:v>
                </c:pt>
                <c:pt idx="39">
                  <c:v>125</c:v>
                </c:pt>
                <c:pt idx="40">
                  <c:v>162</c:v>
                </c:pt>
                <c:pt idx="41">
                  <c:v>81</c:v>
                </c:pt>
                <c:pt idx="42">
                  <c:v>101</c:v>
                </c:pt>
                <c:pt idx="43">
                  <c:v>124</c:v>
                </c:pt>
                <c:pt idx="44">
                  <c:v>97</c:v>
                </c:pt>
                <c:pt idx="45">
                  <c:v>98</c:v>
                </c:pt>
                <c:pt idx="46">
                  <c:v>166</c:v>
                </c:pt>
                <c:pt idx="47">
                  <c:v>186</c:v>
                </c:pt>
                <c:pt idx="48">
                  <c:v>90</c:v>
                </c:pt>
                <c:pt idx="49">
                  <c:v>127</c:v>
                </c:pt>
                <c:pt idx="50">
                  <c:v>165</c:v>
                </c:pt>
                <c:pt idx="51">
                  <c:v>115</c:v>
                </c:pt>
                <c:pt idx="52">
                  <c:v>125</c:v>
                </c:pt>
                <c:pt idx="53">
                  <c:v>173</c:v>
                </c:pt>
                <c:pt idx="54">
                  <c:v>182</c:v>
                </c:pt>
                <c:pt idx="55">
                  <c:v>109</c:v>
                </c:pt>
                <c:pt idx="56">
                  <c:v>116</c:v>
                </c:pt>
                <c:pt idx="57">
                  <c:v>143</c:v>
                </c:pt>
                <c:pt idx="58">
                  <c:v>86</c:v>
                </c:pt>
                <c:pt idx="59">
                  <c:v>110</c:v>
                </c:pt>
                <c:pt idx="60">
                  <c:v>166</c:v>
                </c:pt>
                <c:pt idx="61">
                  <c:v>158</c:v>
                </c:pt>
                <c:pt idx="62">
                  <c:v>58</c:v>
                </c:pt>
                <c:pt idx="63">
                  <c:v>134</c:v>
                </c:pt>
                <c:pt idx="64">
                  <c:v>150</c:v>
                </c:pt>
                <c:pt idx="65">
                  <c:v>86</c:v>
                </c:pt>
                <c:pt idx="66">
                  <c:v>126</c:v>
                </c:pt>
                <c:pt idx="67">
                  <c:v>154</c:v>
                </c:pt>
                <c:pt idx="68">
                  <c:v>207</c:v>
                </c:pt>
                <c:pt idx="69">
                  <c:v>79</c:v>
                </c:pt>
                <c:pt idx="70">
                  <c:v>132</c:v>
                </c:pt>
                <c:pt idx="71">
                  <c:v>140</c:v>
                </c:pt>
                <c:pt idx="72">
                  <c:v>109</c:v>
                </c:pt>
                <c:pt idx="73">
                  <c:v>120</c:v>
                </c:pt>
                <c:pt idx="74">
                  <c:v>164</c:v>
                </c:pt>
                <c:pt idx="75">
                  <c:v>222</c:v>
                </c:pt>
                <c:pt idx="76">
                  <c:v>100</c:v>
                </c:pt>
                <c:pt idx="77">
                  <c:v>134</c:v>
                </c:pt>
                <c:pt idx="78">
                  <c:v>158</c:v>
                </c:pt>
                <c:pt idx="79">
                  <c:v>140</c:v>
                </c:pt>
                <c:pt idx="80">
                  <c:v>136</c:v>
                </c:pt>
                <c:pt idx="81">
                  <c:v>156</c:v>
                </c:pt>
                <c:pt idx="82">
                  <c:v>218</c:v>
                </c:pt>
                <c:pt idx="83">
                  <c:v>91</c:v>
                </c:pt>
                <c:pt idx="84">
                  <c:v>126</c:v>
                </c:pt>
                <c:pt idx="85">
                  <c:v>162</c:v>
                </c:pt>
                <c:pt idx="86">
                  <c:v>137</c:v>
                </c:pt>
                <c:pt idx="87">
                  <c:v>105</c:v>
                </c:pt>
                <c:pt idx="88">
                  <c:v>171</c:v>
                </c:pt>
                <c:pt idx="89">
                  <c:v>220</c:v>
                </c:pt>
                <c:pt idx="90">
                  <c:v>89</c:v>
                </c:pt>
                <c:pt idx="91">
                  <c:v>126</c:v>
                </c:pt>
                <c:pt idx="92">
                  <c:v>149</c:v>
                </c:pt>
                <c:pt idx="93">
                  <c:v>127</c:v>
                </c:pt>
                <c:pt idx="94">
                  <c:v>130</c:v>
                </c:pt>
                <c:pt idx="95">
                  <c:v>173</c:v>
                </c:pt>
                <c:pt idx="96">
                  <c:v>245</c:v>
                </c:pt>
                <c:pt idx="97">
                  <c:v>96</c:v>
                </c:pt>
                <c:pt idx="98">
                  <c:v>117</c:v>
                </c:pt>
                <c:pt idx="99">
                  <c:v>100</c:v>
                </c:pt>
                <c:pt idx="100">
                  <c:v>121</c:v>
                </c:pt>
                <c:pt idx="101">
                  <c:v>119</c:v>
                </c:pt>
                <c:pt idx="102">
                  <c:v>193</c:v>
                </c:pt>
                <c:pt idx="103">
                  <c:v>202</c:v>
                </c:pt>
                <c:pt idx="104">
                  <c:v>114</c:v>
                </c:pt>
                <c:pt idx="105">
                  <c:v>146</c:v>
                </c:pt>
                <c:pt idx="106">
                  <c:v>165</c:v>
                </c:pt>
                <c:pt idx="107">
                  <c:v>141</c:v>
                </c:pt>
                <c:pt idx="108">
                  <c:v>161</c:v>
                </c:pt>
                <c:pt idx="109">
                  <c:v>202</c:v>
                </c:pt>
                <c:pt idx="110">
                  <c:v>235</c:v>
                </c:pt>
                <c:pt idx="111">
                  <c:v>131</c:v>
                </c:pt>
                <c:pt idx="112">
                  <c:v>162</c:v>
                </c:pt>
                <c:pt idx="113">
                  <c:v>177</c:v>
                </c:pt>
                <c:pt idx="114">
                  <c:v>155</c:v>
                </c:pt>
                <c:pt idx="115">
                  <c:v>131</c:v>
                </c:pt>
                <c:pt idx="116">
                  <c:v>157</c:v>
                </c:pt>
                <c:pt idx="117">
                  <c:v>224</c:v>
                </c:pt>
                <c:pt idx="118">
                  <c:v>126</c:v>
                </c:pt>
                <c:pt idx="119">
                  <c:v>123</c:v>
                </c:pt>
                <c:pt idx="120">
                  <c:v>147</c:v>
                </c:pt>
                <c:pt idx="121">
                  <c:v>157</c:v>
                </c:pt>
                <c:pt idx="122">
                  <c:v>148</c:v>
                </c:pt>
                <c:pt idx="123">
                  <c:v>216</c:v>
                </c:pt>
                <c:pt idx="124">
                  <c:v>218</c:v>
                </c:pt>
                <c:pt idx="125">
                  <c:v>124</c:v>
                </c:pt>
                <c:pt idx="126">
                  <c:v>135</c:v>
                </c:pt>
                <c:pt idx="127">
                  <c:v>178</c:v>
                </c:pt>
                <c:pt idx="128">
                  <c:v>163</c:v>
                </c:pt>
                <c:pt idx="129">
                  <c:v>155</c:v>
                </c:pt>
                <c:pt idx="130">
                  <c:v>217</c:v>
                </c:pt>
                <c:pt idx="131">
                  <c:v>236</c:v>
                </c:pt>
                <c:pt idx="132">
                  <c:v>127</c:v>
                </c:pt>
                <c:pt idx="133">
                  <c:v>139</c:v>
                </c:pt>
                <c:pt idx="134">
                  <c:v>181</c:v>
                </c:pt>
                <c:pt idx="135">
                  <c:v>159</c:v>
                </c:pt>
                <c:pt idx="136">
                  <c:v>162</c:v>
                </c:pt>
                <c:pt idx="137">
                  <c:v>194</c:v>
                </c:pt>
                <c:pt idx="138">
                  <c:v>240</c:v>
                </c:pt>
                <c:pt idx="139">
                  <c:v>134</c:v>
                </c:pt>
                <c:pt idx="140">
                  <c:v>69</c:v>
                </c:pt>
                <c:pt idx="141">
                  <c:v>183</c:v>
                </c:pt>
                <c:pt idx="142">
                  <c:v>151</c:v>
                </c:pt>
                <c:pt idx="143">
                  <c:v>172</c:v>
                </c:pt>
                <c:pt idx="144">
                  <c:v>231</c:v>
                </c:pt>
                <c:pt idx="145">
                  <c:v>248</c:v>
                </c:pt>
                <c:pt idx="146">
                  <c:v>149</c:v>
                </c:pt>
                <c:pt idx="147">
                  <c:v>168</c:v>
                </c:pt>
                <c:pt idx="148">
                  <c:v>174</c:v>
                </c:pt>
                <c:pt idx="149">
                  <c:v>164</c:v>
                </c:pt>
                <c:pt idx="150">
                  <c:v>175</c:v>
                </c:pt>
                <c:pt idx="151">
                  <c:v>207</c:v>
                </c:pt>
                <c:pt idx="152">
                  <c:v>227</c:v>
                </c:pt>
                <c:pt idx="153">
                  <c:v>140</c:v>
                </c:pt>
                <c:pt idx="154">
                  <c:v>168</c:v>
                </c:pt>
                <c:pt idx="155">
                  <c:v>178</c:v>
                </c:pt>
                <c:pt idx="156">
                  <c:v>167</c:v>
                </c:pt>
                <c:pt idx="157">
                  <c:v>137</c:v>
                </c:pt>
                <c:pt idx="158">
                  <c:v>215</c:v>
                </c:pt>
                <c:pt idx="159">
                  <c:v>212</c:v>
                </c:pt>
                <c:pt idx="160">
                  <c:v>31</c:v>
                </c:pt>
                <c:pt idx="161">
                  <c:v>155</c:v>
                </c:pt>
                <c:pt idx="162">
                  <c:v>160</c:v>
                </c:pt>
                <c:pt idx="163">
                  <c:v>151</c:v>
                </c:pt>
                <c:pt idx="164">
                  <c:v>176</c:v>
                </c:pt>
                <c:pt idx="165">
                  <c:v>144</c:v>
                </c:pt>
                <c:pt idx="166">
                  <c:v>234</c:v>
                </c:pt>
                <c:pt idx="167">
                  <c:v>155</c:v>
                </c:pt>
                <c:pt idx="168">
                  <c:v>181</c:v>
                </c:pt>
                <c:pt idx="169">
                  <c:v>190</c:v>
                </c:pt>
                <c:pt idx="170">
                  <c:v>183</c:v>
                </c:pt>
                <c:pt idx="171">
                  <c:v>184</c:v>
                </c:pt>
                <c:pt idx="172">
                  <c:v>219</c:v>
                </c:pt>
                <c:pt idx="173">
                  <c:v>245</c:v>
                </c:pt>
                <c:pt idx="174">
                  <c:v>102</c:v>
                </c:pt>
                <c:pt idx="175">
                  <c:v>157</c:v>
                </c:pt>
                <c:pt idx="176">
                  <c:v>191</c:v>
                </c:pt>
                <c:pt idx="177">
                  <c:v>169</c:v>
                </c:pt>
                <c:pt idx="178">
                  <c:v>183</c:v>
                </c:pt>
                <c:pt idx="179">
                  <c:v>203</c:v>
                </c:pt>
                <c:pt idx="180">
                  <c:v>240</c:v>
                </c:pt>
                <c:pt idx="181">
                  <c:v>135</c:v>
                </c:pt>
                <c:pt idx="182">
                  <c:v>185</c:v>
                </c:pt>
                <c:pt idx="183">
                  <c:v>204</c:v>
                </c:pt>
                <c:pt idx="184">
                  <c:v>167</c:v>
                </c:pt>
                <c:pt idx="185">
                  <c:v>160</c:v>
                </c:pt>
                <c:pt idx="186">
                  <c:v>194</c:v>
                </c:pt>
                <c:pt idx="187">
                  <c:v>214</c:v>
                </c:pt>
                <c:pt idx="188">
                  <c:v>146</c:v>
                </c:pt>
                <c:pt idx="189">
                  <c:v>165</c:v>
                </c:pt>
                <c:pt idx="190">
                  <c:v>197</c:v>
                </c:pt>
                <c:pt idx="191">
                  <c:v>163</c:v>
                </c:pt>
                <c:pt idx="192">
                  <c:v>151</c:v>
                </c:pt>
                <c:pt idx="193">
                  <c:v>202</c:v>
                </c:pt>
                <c:pt idx="194">
                  <c:v>225</c:v>
                </c:pt>
                <c:pt idx="195">
                  <c:v>133</c:v>
                </c:pt>
                <c:pt idx="196">
                  <c:v>138</c:v>
                </c:pt>
                <c:pt idx="197">
                  <c:v>182</c:v>
                </c:pt>
                <c:pt idx="198">
                  <c:v>165</c:v>
                </c:pt>
                <c:pt idx="199">
                  <c:v>167</c:v>
                </c:pt>
                <c:pt idx="200">
                  <c:v>230</c:v>
                </c:pt>
                <c:pt idx="201">
                  <c:v>250</c:v>
                </c:pt>
                <c:pt idx="202">
                  <c:v>148</c:v>
                </c:pt>
                <c:pt idx="203">
                  <c:v>169</c:v>
                </c:pt>
                <c:pt idx="204">
                  <c:v>198</c:v>
                </c:pt>
                <c:pt idx="205">
                  <c:v>192</c:v>
                </c:pt>
                <c:pt idx="206">
                  <c:v>184</c:v>
                </c:pt>
                <c:pt idx="207">
                  <c:v>230</c:v>
                </c:pt>
                <c:pt idx="208">
                  <c:v>267</c:v>
                </c:pt>
                <c:pt idx="209">
                  <c:v>173</c:v>
                </c:pt>
                <c:pt idx="210">
                  <c:v>190</c:v>
                </c:pt>
                <c:pt idx="211">
                  <c:v>215</c:v>
                </c:pt>
                <c:pt idx="212">
                  <c:v>203</c:v>
                </c:pt>
                <c:pt idx="213">
                  <c:v>189</c:v>
                </c:pt>
                <c:pt idx="214">
                  <c:v>252</c:v>
                </c:pt>
                <c:pt idx="215">
                  <c:v>269</c:v>
                </c:pt>
                <c:pt idx="216">
                  <c:v>165</c:v>
                </c:pt>
                <c:pt idx="217">
                  <c:v>190</c:v>
                </c:pt>
                <c:pt idx="218">
                  <c:v>223</c:v>
                </c:pt>
                <c:pt idx="219">
                  <c:v>186</c:v>
                </c:pt>
                <c:pt idx="220">
                  <c:v>187</c:v>
                </c:pt>
                <c:pt idx="221">
                  <c:v>239</c:v>
                </c:pt>
                <c:pt idx="222">
                  <c:v>276</c:v>
                </c:pt>
                <c:pt idx="223">
                  <c:v>161</c:v>
                </c:pt>
                <c:pt idx="224">
                  <c:v>184</c:v>
                </c:pt>
                <c:pt idx="225">
                  <c:v>215</c:v>
                </c:pt>
                <c:pt idx="226">
                  <c:v>166</c:v>
                </c:pt>
                <c:pt idx="227">
                  <c:v>198</c:v>
                </c:pt>
                <c:pt idx="228">
                  <c:v>242</c:v>
                </c:pt>
                <c:pt idx="229">
                  <c:v>291</c:v>
                </c:pt>
                <c:pt idx="230">
                  <c:v>168</c:v>
                </c:pt>
                <c:pt idx="231">
                  <c:v>182</c:v>
                </c:pt>
                <c:pt idx="232">
                  <c:v>210</c:v>
                </c:pt>
                <c:pt idx="233">
                  <c:v>169</c:v>
                </c:pt>
                <c:pt idx="234">
                  <c:v>176</c:v>
                </c:pt>
                <c:pt idx="235">
                  <c:v>236</c:v>
                </c:pt>
                <c:pt idx="236">
                  <c:v>259</c:v>
                </c:pt>
                <c:pt idx="237">
                  <c:v>158</c:v>
                </c:pt>
                <c:pt idx="238">
                  <c:v>182</c:v>
                </c:pt>
                <c:pt idx="239">
                  <c:v>194</c:v>
                </c:pt>
                <c:pt idx="240">
                  <c:v>182</c:v>
                </c:pt>
                <c:pt idx="241">
                  <c:v>174</c:v>
                </c:pt>
                <c:pt idx="242">
                  <c:v>223</c:v>
                </c:pt>
                <c:pt idx="243">
                  <c:v>260</c:v>
                </c:pt>
                <c:pt idx="244">
                  <c:v>163</c:v>
                </c:pt>
                <c:pt idx="245">
                  <c:v>174</c:v>
                </c:pt>
                <c:pt idx="246">
                  <c:v>198</c:v>
                </c:pt>
                <c:pt idx="247">
                  <c:v>183</c:v>
                </c:pt>
                <c:pt idx="248">
                  <c:v>196</c:v>
                </c:pt>
                <c:pt idx="249">
                  <c:v>239</c:v>
                </c:pt>
                <c:pt idx="250">
                  <c:v>242</c:v>
                </c:pt>
                <c:pt idx="251">
                  <c:v>42</c:v>
                </c:pt>
                <c:pt idx="252">
                  <c:v>185</c:v>
                </c:pt>
                <c:pt idx="253">
                  <c:v>210</c:v>
                </c:pt>
                <c:pt idx="254">
                  <c:v>173</c:v>
                </c:pt>
                <c:pt idx="255">
                  <c:v>160</c:v>
                </c:pt>
                <c:pt idx="256">
                  <c:v>224</c:v>
                </c:pt>
                <c:pt idx="257">
                  <c:v>276</c:v>
                </c:pt>
                <c:pt idx="258">
                  <c:v>122</c:v>
                </c:pt>
                <c:pt idx="259">
                  <c:v>169</c:v>
                </c:pt>
                <c:pt idx="260">
                  <c:v>164</c:v>
                </c:pt>
                <c:pt idx="261">
                  <c:v>172</c:v>
                </c:pt>
                <c:pt idx="262">
                  <c:v>158</c:v>
                </c:pt>
                <c:pt idx="263">
                  <c:v>210</c:v>
                </c:pt>
                <c:pt idx="264">
                  <c:v>235</c:v>
                </c:pt>
                <c:pt idx="265">
                  <c:v>152</c:v>
                </c:pt>
                <c:pt idx="266">
                  <c:v>180</c:v>
                </c:pt>
                <c:pt idx="267">
                  <c:v>208</c:v>
                </c:pt>
                <c:pt idx="268">
                  <c:v>181</c:v>
                </c:pt>
                <c:pt idx="269">
                  <c:v>176</c:v>
                </c:pt>
                <c:pt idx="270">
                  <c:v>213</c:v>
                </c:pt>
                <c:pt idx="271">
                  <c:v>256</c:v>
                </c:pt>
                <c:pt idx="272">
                  <c:v>162</c:v>
                </c:pt>
                <c:pt idx="273">
                  <c:v>174</c:v>
                </c:pt>
                <c:pt idx="274">
                  <c:v>193</c:v>
                </c:pt>
                <c:pt idx="275">
                  <c:v>171</c:v>
                </c:pt>
                <c:pt idx="276">
                  <c:v>161</c:v>
                </c:pt>
                <c:pt idx="277">
                  <c:v>236</c:v>
                </c:pt>
                <c:pt idx="278">
                  <c:v>217</c:v>
                </c:pt>
                <c:pt idx="279">
                  <c:v>138</c:v>
                </c:pt>
                <c:pt idx="280">
                  <c:v>166</c:v>
                </c:pt>
                <c:pt idx="281">
                  <c:v>196</c:v>
                </c:pt>
                <c:pt idx="282">
                  <c:v>154</c:v>
                </c:pt>
                <c:pt idx="283">
                  <c:v>150</c:v>
                </c:pt>
                <c:pt idx="284">
                  <c:v>0</c:v>
                </c:pt>
                <c:pt idx="285">
                  <c:v>249</c:v>
                </c:pt>
                <c:pt idx="286">
                  <c:v>124</c:v>
                </c:pt>
                <c:pt idx="287">
                  <c:v>146</c:v>
                </c:pt>
                <c:pt idx="288">
                  <c:v>170</c:v>
                </c:pt>
                <c:pt idx="289">
                  <c:v>147</c:v>
                </c:pt>
                <c:pt idx="290">
                  <c:v>135</c:v>
                </c:pt>
                <c:pt idx="291">
                  <c:v>123</c:v>
                </c:pt>
                <c:pt idx="292">
                  <c:v>252</c:v>
                </c:pt>
                <c:pt idx="293">
                  <c:v>115</c:v>
                </c:pt>
                <c:pt idx="294">
                  <c:v>84</c:v>
                </c:pt>
                <c:pt idx="295">
                  <c:v>184</c:v>
                </c:pt>
                <c:pt idx="296">
                  <c:v>139</c:v>
                </c:pt>
                <c:pt idx="297">
                  <c:v>7</c:v>
                </c:pt>
                <c:pt idx="298">
                  <c:v>206</c:v>
                </c:pt>
                <c:pt idx="299">
                  <c:v>249</c:v>
                </c:pt>
                <c:pt idx="300">
                  <c:v>132</c:v>
                </c:pt>
                <c:pt idx="301">
                  <c:v>116</c:v>
                </c:pt>
                <c:pt idx="302">
                  <c:v>182</c:v>
                </c:pt>
                <c:pt idx="303">
                  <c:v>146</c:v>
                </c:pt>
                <c:pt idx="304">
                  <c:v>153</c:v>
                </c:pt>
                <c:pt idx="305">
                  <c:v>198</c:v>
                </c:pt>
                <c:pt idx="306">
                  <c:v>213</c:v>
                </c:pt>
                <c:pt idx="307">
                  <c:v>115</c:v>
                </c:pt>
                <c:pt idx="308">
                  <c:v>128</c:v>
                </c:pt>
                <c:pt idx="309">
                  <c:v>160</c:v>
                </c:pt>
                <c:pt idx="310">
                  <c:v>136</c:v>
                </c:pt>
                <c:pt idx="311">
                  <c:v>132</c:v>
                </c:pt>
                <c:pt idx="312">
                  <c:v>168</c:v>
                </c:pt>
                <c:pt idx="313">
                  <c:v>238</c:v>
                </c:pt>
                <c:pt idx="314">
                  <c:v>113</c:v>
                </c:pt>
                <c:pt idx="315">
                  <c:v>145</c:v>
                </c:pt>
                <c:pt idx="316">
                  <c:v>152</c:v>
                </c:pt>
                <c:pt idx="317">
                  <c:v>140</c:v>
                </c:pt>
                <c:pt idx="318">
                  <c:v>136</c:v>
                </c:pt>
                <c:pt idx="319">
                  <c:v>168</c:v>
                </c:pt>
                <c:pt idx="320">
                  <c:v>226</c:v>
                </c:pt>
                <c:pt idx="321">
                  <c:v>114</c:v>
                </c:pt>
                <c:pt idx="322">
                  <c:v>152</c:v>
                </c:pt>
                <c:pt idx="323">
                  <c:v>166</c:v>
                </c:pt>
                <c:pt idx="324">
                  <c:v>134</c:v>
                </c:pt>
                <c:pt idx="325">
                  <c:v>62</c:v>
                </c:pt>
                <c:pt idx="326">
                  <c:v>117</c:v>
                </c:pt>
                <c:pt idx="327">
                  <c:v>226</c:v>
                </c:pt>
                <c:pt idx="328">
                  <c:v>128</c:v>
                </c:pt>
                <c:pt idx="329">
                  <c:v>113</c:v>
                </c:pt>
                <c:pt idx="330">
                  <c:v>128</c:v>
                </c:pt>
                <c:pt idx="331">
                  <c:v>109</c:v>
                </c:pt>
                <c:pt idx="332">
                  <c:v>96</c:v>
                </c:pt>
                <c:pt idx="333">
                  <c:v>143</c:v>
                </c:pt>
                <c:pt idx="334">
                  <c:v>211</c:v>
                </c:pt>
                <c:pt idx="335">
                  <c:v>60</c:v>
                </c:pt>
                <c:pt idx="336">
                  <c:v>129</c:v>
                </c:pt>
                <c:pt idx="337">
                  <c:v>162</c:v>
                </c:pt>
                <c:pt idx="338">
                  <c:v>115</c:v>
                </c:pt>
                <c:pt idx="339">
                  <c:v>112</c:v>
                </c:pt>
                <c:pt idx="340">
                  <c:v>143</c:v>
                </c:pt>
                <c:pt idx="341">
                  <c:v>196</c:v>
                </c:pt>
                <c:pt idx="342">
                  <c:v>80</c:v>
                </c:pt>
                <c:pt idx="343">
                  <c:v>113</c:v>
                </c:pt>
                <c:pt idx="344">
                  <c:v>156</c:v>
                </c:pt>
                <c:pt idx="345">
                  <c:v>144</c:v>
                </c:pt>
                <c:pt idx="346">
                  <c:v>108</c:v>
                </c:pt>
                <c:pt idx="347">
                  <c:v>169</c:v>
                </c:pt>
                <c:pt idx="348">
                  <c:v>212</c:v>
                </c:pt>
                <c:pt idx="349">
                  <c:v>83</c:v>
                </c:pt>
                <c:pt idx="350">
                  <c:v>126</c:v>
                </c:pt>
                <c:pt idx="351">
                  <c:v>151</c:v>
                </c:pt>
                <c:pt idx="352">
                  <c:v>121</c:v>
                </c:pt>
                <c:pt idx="353">
                  <c:v>128</c:v>
                </c:pt>
                <c:pt idx="354">
                  <c:v>165</c:v>
                </c:pt>
                <c:pt idx="355">
                  <c:v>157</c:v>
                </c:pt>
                <c:pt idx="356">
                  <c:v>77</c:v>
                </c:pt>
                <c:pt idx="357">
                  <c:v>120</c:v>
                </c:pt>
                <c:pt idx="358">
                  <c:v>143</c:v>
                </c:pt>
                <c:pt idx="359">
                  <c:v>107</c:v>
                </c:pt>
                <c:pt idx="360">
                  <c:v>125</c:v>
                </c:pt>
                <c:pt idx="361">
                  <c:v>168</c:v>
                </c:pt>
                <c:pt idx="362">
                  <c:v>199</c:v>
                </c:pt>
                <c:pt idx="363">
                  <c:v>88</c:v>
                </c:pt>
                <c:pt idx="364">
                  <c:v>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DE-7248-9E6C-CD9B80959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381231"/>
        <c:axId val="1249672719"/>
      </c:scatterChart>
      <c:valAx>
        <c:axId val="124938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気温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9672719"/>
        <c:crosses val="autoZero"/>
        <c:crossBetween val="midCat"/>
      </c:valAx>
      <c:valAx>
        <c:axId val="124967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売上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9381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気温による線形回帰!$D$2</c:f>
              <c:strCache>
                <c:ptCount val="1"/>
                <c:pt idx="0">
                  <c:v>売上個数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81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forward val="20"/>
            <c:backward val="2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気温による線形回帰!$C$3:$C$367</c:f>
              <c:numCache>
                <c:formatCode>General</c:formatCode>
                <c:ptCount val="365"/>
                <c:pt idx="0">
                  <c:v>5.3</c:v>
                </c:pt>
                <c:pt idx="1">
                  <c:v>6.2</c:v>
                </c:pt>
                <c:pt idx="2">
                  <c:v>4.9000000000000004</c:v>
                </c:pt>
                <c:pt idx="3">
                  <c:v>5.0999999999999996</c:v>
                </c:pt>
                <c:pt idx="4">
                  <c:v>7.4</c:v>
                </c:pt>
                <c:pt idx="5">
                  <c:v>5.3</c:v>
                </c:pt>
                <c:pt idx="6">
                  <c:v>5.4</c:v>
                </c:pt>
                <c:pt idx="7">
                  <c:v>4.5999999999999996</c:v>
                </c:pt>
                <c:pt idx="8">
                  <c:v>4.5</c:v>
                </c:pt>
                <c:pt idx="9">
                  <c:v>2</c:v>
                </c:pt>
                <c:pt idx="10">
                  <c:v>6.4</c:v>
                </c:pt>
                <c:pt idx="11">
                  <c:v>4.5999999999999996</c:v>
                </c:pt>
                <c:pt idx="12">
                  <c:v>6.2</c:v>
                </c:pt>
                <c:pt idx="13">
                  <c:v>5.6</c:v>
                </c:pt>
                <c:pt idx="14">
                  <c:v>5.6</c:v>
                </c:pt>
                <c:pt idx="15">
                  <c:v>6.6</c:v>
                </c:pt>
                <c:pt idx="16">
                  <c:v>6.6</c:v>
                </c:pt>
                <c:pt idx="17">
                  <c:v>5.9</c:v>
                </c:pt>
                <c:pt idx="18">
                  <c:v>6.6</c:v>
                </c:pt>
                <c:pt idx="19">
                  <c:v>7.1</c:v>
                </c:pt>
                <c:pt idx="20">
                  <c:v>5.8</c:v>
                </c:pt>
                <c:pt idx="21">
                  <c:v>5</c:v>
                </c:pt>
                <c:pt idx="22">
                  <c:v>6.7</c:v>
                </c:pt>
                <c:pt idx="23">
                  <c:v>6.2</c:v>
                </c:pt>
                <c:pt idx="24">
                  <c:v>6</c:v>
                </c:pt>
                <c:pt idx="25">
                  <c:v>4.5</c:v>
                </c:pt>
                <c:pt idx="26">
                  <c:v>4.5999999999999996</c:v>
                </c:pt>
                <c:pt idx="27">
                  <c:v>6.5</c:v>
                </c:pt>
                <c:pt idx="28">
                  <c:v>6</c:v>
                </c:pt>
                <c:pt idx="29">
                  <c:v>5.2</c:v>
                </c:pt>
                <c:pt idx="30">
                  <c:v>5.0999999999999996</c:v>
                </c:pt>
                <c:pt idx="31">
                  <c:v>4.0999999999999996</c:v>
                </c:pt>
                <c:pt idx="32">
                  <c:v>6</c:v>
                </c:pt>
                <c:pt idx="33">
                  <c:v>8.5</c:v>
                </c:pt>
                <c:pt idx="34">
                  <c:v>13.2</c:v>
                </c:pt>
                <c:pt idx="35">
                  <c:v>6.7</c:v>
                </c:pt>
                <c:pt idx="36">
                  <c:v>5.7</c:v>
                </c:pt>
                <c:pt idx="37">
                  <c:v>9.6</c:v>
                </c:pt>
                <c:pt idx="38">
                  <c:v>6.1</c:v>
                </c:pt>
                <c:pt idx="39">
                  <c:v>0.8</c:v>
                </c:pt>
                <c:pt idx="40">
                  <c:v>3.5</c:v>
                </c:pt>
                <c:pt idx="41">
                  <c:v>3</c:v>
                </c:pt>
                <c:pt idx="42">
                  <c:v>6.2</c:v>
                </c:pt>
                <c:pt idx="43">
                  <c:v>5.2</c:v>
                </c:pt>
                <c:pt idx="44">
                  <c:v>4.5</c:v>
                </c:pt>
                <c:pt idx="45">
                  <c:v>3</c:v>
                </c:pt>
                <c:pt idx="46">
                  <c:v>6.8</c:v>
                </c:pt>
                <c:pt idx="47">
                  <c:v>6.4</c:v>
                </c:pt>
                <c:pt idx="48">
                  <c:v>8.1999999999999993</c:v>
                </c:pt>
                <c:pt idx="49">
                  <c:v>9.1</c:v>
                </c:pt>
                <c:pt idx="50">
                  <c:v>11.6</c:v>
                </c:pt>
                <c:pt idx="51">
                  <c:v>10.3</c:v>
                </c:pt>
                <c:pt idx="52">
                  <c:v>9.3000000000000007</c:v>
                </c:pt>
                <c:pt idx="53">
                  <c:v>8.9</c:v>
                </c:pt>
                <c:pt idx="54">
                  <c:v>8.8000000000000007</c:v>
                </c:pt>
                <c:pt idx="55">
                  <c:v>11.3</c:v>
                </c:pt>
                <c:pt idx="56">
                  <c:v>10.199999999999999</c:v>
                </c:pt>
                <c:pt idx="57">
                  <c:v>7.7</c:v>
                </c:pt>
                <c:pt idx="58">
                  <c:v>6.6</c:v>
                </c:pt>
                <c:pt idx="59">
                  <c:v>8.8000000000000007</c:v>
                </c:pt>
                <c:pt idx="60">
                  <c:v>10.3</c:v>
                </c:pt>
                <c:pt idx="61">
                  <c:v>6.5</c:v>
                </c:pt>
                <c:pt idx="62">
                  <c:v>7.3</c:v>
                </c:pt>
                <c:pt idx="63">
                  <c:v>9.6</c:v>
                </c:pt>
                <c:pt idx="64">
                  <c:v>10.8</c:v>
                </c:pt>
                <c:pt idx="65">
                  <c:v>8.1999999999999993</c:v>
                </c:pt>
                <c:pt idx="66">
                  <c:v>7.3</c:v>
                </c:pt>
                <c:pt idx="67">
                  <c:v>10</c:v>
                </c:pt>
                <c:pt idx="68">
                  <c:v>12.5</c:v>
                </c:pt>
                <c:pt idx="69">
                  <c:v>12.3</c:v>
                </c:pt>
                <c:pt idx="70">
                  <c:v>12.4</c:v>
                </c:pt>
                <c:pt idx="71">
                  <c:v>11.7</c:v>
                </c:pt>
                <c:pt idx="72">
                  <c:v>8.4</c:v>
                </c:pt>
                <c:pt idx="73">
                  <c:v>9.6999999999999993</c:v>
                </c:pt>
                <c:pt idx="74">
                  <c:v>8.9</c:v>
                </c:pt>
                <c:pt idx="75">
                  <c:v>9.1</c:v>
                </c:pt>
                <c:pt idx="76">
                  <c:v>9.6999999999999993</c:v>
                </c:pt>
                <c:pt idx="77">
                  <c:v>13.2</c:v>
                </c:pt>
                <c:pt idx="78">
                  <c:v>15</c:v>
                </c:pt>
                <c:pt idx="79">
                  <c:v>17.7</c:v>
                </c:pt>
                <c:pt idx="80">
                  <c:v>16.2</c:v>
                </c:pt>
                <c:pt idx="81">
                  <c:v>7.1</c:v>
                </c:pt>
                <c:pt idx="82">
                  <c:v>8.1999999999999993</c:v>
                </c:pt>
                <c:pt idx="83">
                  <c:v>9.9</c:v>
                </c:pt>
                <c:pt idx="84">
                  <c:v>11.9</c:v>
                </c:pt>
                <c:pt idx="85">
                  <c:v>14.2</c:v>
                </c:pt>
                <c:pt idx="86">
                  <c:v>13.6</c:v>
                </c:pt>
                <c:pt idx="87">
                  <c:v>7.7</c:v>
                </c:pt>
                <c:pt idx="88">
                  <c:v>8.6999999999999993</c:v>
                </c:pt>
                <c:pt idx="89">
                  <c:v>10.5</c:v>
                </c:pt>
                <c:pt idx="90">
                  <c:v>8.8000000000000007</c:v>
                </c:pt>
                <c:pt idx="91">
                  <c:v>7.2</c:v>
                </c:pt>
                <c:pt idx="92">
                  <c:v>8.1</c:v>
                </c:pt>
                <c:pt idx="93">
                  <c:v>10.6</c:v>
                </c:pt>
                <c:pt idx="94">
                  <c:v>15.4</c:v>
                </c:pt>
                <c:pt idx="95">
                  <c:v>15.9</c:v>
                </c:pt>
                <c:pt idx="96">
                  <c:v>15.5</c:v>
                </c:pt>
                <c:pt idx="97">
                  <c:v>9.3000000000000007</c:v>
                </c:pt>
                <c:pt idx="98">
                  <c:v>10.3</c:v>
                </c:pt>
                <c:pt idx="99">
                  <c:v>5.7</c:v>
                </c:pt>
                <c:pt idx="100">
                  <c:v>10.4</c:v>
                </c:pt>
                <c:pt idx="101">
                  <c:v>9.6</c:v>
                </c:pt>
                <c:pt idx="102">
                  <c:v>12.1</c:v>
                </c:pt>
                <c:pt idx="103">
                  <c:v>14.7</c:v>
                </c:pt>
                <c:pt idx="104">
                  <c:v>16</c:v>
                </c:pt>
                <c:pt idx="105">
                  <c:v>15.3</c:v>
                </c:pt>
                <c:pt idx="106">
                  <c:v>15.5</c:v>
                </c:pt>
                <c:pt idx="107">
                  <c:v>17.5</c:v>
                </c:pt>
                <c:pt idx="108">
                  <c:v>18.3</c:v>
                </c:pt>
                <c:pt idx="109">
                  <c:v>14.2</c:v>
                </c:pt>
                <c:pt idx="110">
                  <c:v>17.5</c:v>
                </c:pt>
                <c:pt idx="111">
                  <c:v>19.2</c:v>
                </c:pt>
                <c:pt idx="112">
                  <c:v>18.7</c:v>
                </c:pt>
                <c:pt idx="113">
                  <c:v>19.100000000000001</c:v>
                </c:pt>
                <c:pt idx="114">
                  <c:v>20.3</c:v>
                </c:pt>
                <c:pt idx="115">
                  <c:v>11.6</c:v>
                </c:pt>
                <c:pt idx="116">
                  <c:v>10.199999999999999</c:v>
                </c:pt>
                <c:pt idx="117">
                  <c:v>12.6</c:v>
                </c:pt>
                <c:pt idx="118">
                  <c:v>14.8</c:v>
                </c:pt>
                <c:pt idx="119">
                  <c:v>14.8</c:v>
                </c:pt>
                <c:pt idx="120">
                  <c:v>17.399999999999999</c:v>
                </c:pt>
                <c:pt idx="121">
                  <c:v>17.3</c:v>
                </c:pt>
                <c:pt idx="122">
                  <c:v>18.5</c:v>
                </c:pt>
                <c:pt idx="123">
                  <c:v>18.399999999999999</c:v>
                </c:pt>
                <c:pt idx="124">
                  <c:v>18.899999999999999</c:v>
                </c:pt>
                <c:pt idx="125">
                  <c:v>18.8</c:v>
                </c:pt>
                <c:pt idx="126">
                  <c:v>15.3</c:v>
                </c:pt>
                <c:pt idx="127">
                  <c:v>16.5</c:v>
                </c:pt>
                <c:pt idx="128">
                  <c:v>18.600000000000001</c:v>
                </c:pt>
                <c:pt idx="129">
                  <c:v>20.6</c:v>
                </c:pt>
                <c:pt idx="130">
                  <c:v>20.9</c:v>
                </c:pt>
                <c:pt idx="131">
                  <c:v>17.600000000000001</c:v>
                </c:pt>
                <c:pt idx="132">
                  <c:v>17.7</c:v>
                </c:pt>
                <c:pt idx="133">
                  <c:v>17.899999999999999</c:v>
                </c:pt>
                <c:pt idx="134">
                  <c:v>18.7</c:v>
                </c:pt>
                <c:pt idx="135">
                  <c:v>20</c:v>
                </c:pt>
                <c:pt idx="136">
                  <c:v>20</c:v>
                </c:pt>
                <c:pt idx="137">
                  <c:v>20.3</c:v>
                </c:pt>
                <c:pt idx="138">
                  <c:v>20.5</c:v>
                </c:pt>
                <c:pt idx="139">
                  <c:v>20.5</c:v>
                </c:pt>
                <c:pt idx="140">
                  <c:v>19.399999999999999</c:v>
                </c:pt>
                <c:pt idx="141">
                  <c:v>19.399999999999999</c:v>
                </c:pt>
                <c:pt idx="142">
                  <c:v>21.3</c:v>
                </c:pt>
                <c:pt idx="143">
                  <c:v>23.1</c:v>
                </c:pt>
                <c:pt idx="144">
                  <c:v>24.4</c:v>
                </c:pt>
                <c:pt idx="145">
                  <c:v>25.2</c:v>
                </c:pt>
                <c:pt idx="146">
                  <c:v>26.1</c:v>
                </c:pt>
                <c:pt idx="147">
                  <c:v>23.5</c:v>
                </c:pt>
                <c:pt idx="148">
                  <c:v>20.2</c:v>
                </c:pt>
                <c:pt idx="149">
                  <c:v>21.2</c:v>
                </c:pt>
                <c:pt idx="150">
                  <c:v>21.6</c:v>
                </c:pt>
                <c:pt idx="151">
                  <c:v>21.8</c:v>
                </c:pt>
                <c:pt idx="152">
                  <c:v>22</c:v>
                </c:pt>
                <c:pt idx="153">
                  <c:v>22.2</c:v>
                </c:pt>
                <c:pt idx="154">
                  <c:v>22.4</c:v>
                </c:pt>
                <c:pt idx="155">
                  <c:v>22.6</c:v>
                </c:pt>
                <c:pt idx="156">
                  <c:v>25.2</c:v>
                </c:pt>
                <c:pt idx="157">
                  <c:v>21</c:v>
                </c:pt>
                <c:pt idx="158">
                  <c:v>20.8</c:v>
                </c:pt>
                <c:pt idx="159">
                  <c:v>17.5</c:v>
                </c:pt>
                <c:pt idx="160">
                  <c:v>16.2</c:v>
                </c:pt>
                <c:pt idx="161">
                  <c:v>18.3</c:v>
                </c:pt>
                <c:pt idx="162">
                  <c:v>18</c:v>
                </c:pt>
                <c:pt idx="163">
                  <c:v>20.7</c:v>
                </c:pt>
                <c:pt idx="164">
                  <c:v>22.2</c:v>
                </c:pt>
                <c:pt idx="165">
                  <c:v>17.3</c:v>
                </c:pt>
                <c:pt idx="166">
                  <c:v>23.5</c:v>
                </c:pt>
                <c:pt idx="167">
                  <c:v>23.6</c:v>
                </c:pt>
                <c:pt idx="168">
                  <c:v>23.4</c:v>
                </c:pt>
                <c:pt idx="169">
                  <c:v>23.5</c:v>
                </c:pt>
                <c:pt idx="170">
                  <c:v>24.1</c:v>
                </c:pt>
                <c:pt idx="171">
                  <c:v>24.6</c:v>
                </c:pt>
                <c:pt idx="172">
                  <c:v>22.2</c:v>
                </c:pt>
                <c:pt idx="173">
                  <c:v>21.4</c:v>
                </c:pt>
                <c:pt idx="174">
                  <c:v>19.100000000000001</c:v>
                </c:pt>
                <c:pt idx="175">
                  <c:v>22.3</c:v>
                </c:pt>
                <c:pt idx="176">
                  <c:v>24.7</c:v>
                </c:pt>
                <c:pt idx="177">
                  <c:v>25.6</c:v>
                </c:pt>
                <c:pt idx="178">
                  <c:v>25.2</c:v>
                </c:pt>
                <c:pt idx="179">
                  <c:v>20.2</c:v>
                </c:pt>
                <c:pt idx="180">
                  <c:v>21.6</c:v>
                </c:pt>
                <c:pt idx="181">
                  <c:v>22.7</c:v>
                </c:pt>
                <c:pt idx="182">
                  <c:v>23.8</c:v>
                </c:pt>
                <c:pt idx="183">
                  <c:v>24.9</c:v>
                </c:pt>
                <c:pt idx="184">
                  <c:v>22.7</c:v>
                </c:pt>
                <c:pt idx="185">
                  <c:v>21.9</c:v>
                </c:pt>
                <c:pt idx="186">
                  <c:v>21</c:v>
                </c:pt>
                <c:pt idx="187">
                  <c:v>19.2</c:v>
                </c:pt>
                <c:pt idx="188">
                  <c:v>20.3</c:v>
                </c:pt>
                <c:pt idx="189">
                  <c:v>19.7</c:v>
                </c:pt>
                <c:pt idx="190">
                  <c:v>21</c:v>
                </c:pt>
                <c:pt idx="191">
                  <c:v>19.899999999999999</c:v>
                </c:pt>
                <c:pt idx="192">
                  <c:v>20.2</c:v>
                </c:pt>
                <c:pt idx="193">
                  <c:v>23.4</c:v>
                </c:pt>
                <c:pt idx="194">
                  <c:v>21.3</c:v>
                </c:pt>
                <c:pt idx="195">
                  <c:v>21.3</c:v>
                </c:pt>
                <c:pt idx="196">
                  <c:v>20.5</c:v>
                </c:pt>
                <c:pt idx="197">
                  <c:v>23.9</c:v>
                </c:pt>
                <c:pt idx="198">
                  <c:v>25.6</c:v>
                </c:pt>
                <c:pt idx="199">
                  <c:v>26.7</c:v>
                </c:pt>
                <c:pt idx="200">
                  <c:v>26.5</c:v>
                </c:pt>
                <c:pt idx="201">
                  <c:v>25</c:v>
                </c:pt>
                <c:pt idx="202">
                  <c:v>22.7</c:v>
                </c:pt>
                <c:pt idx="203">
                  <c:v>24.5</c:v>
                </c:pt>
                <c:pt idx="204">
                  <c:v>26.8</c:v>
                </c:pt>
                <c:pt idx="205">
                  <c:v>28</c:v>
                </c:pt>
                <c:pt idx="206">
                  <c:v>28.5</c:v>
                </c:pt>
                <c:pt idx="207">
                  <c:v>28</c:v>
                </c:pt>
                <c:pt idx="208">
                  <c:v>27.7</c:v>
                </c:pt>
                <c:pt idx="209">
                  <c:v>29</c:v>
                </c:pt>
                <c:pt idx="210">
                  <c:v>29.5</c:v>
                </c:pt>
                <c:pt idx="211">
                  <c:v>30</c:v>
                </c:pt>
                <c:pt idx="212">
                  <c:v>30.5</c:v>
                </c:pt>
                <c:pt idx="213">
                  <c:v>30.2</c:v>
                </c:pt>
                <c:pt idx="214">
                  <c:v>29.4</c:v>
                </c:pt>
                <c:pt idx="215">
                  <c:v>29.4</c:v>
                </c:pt>
                <c:pt idx="216">
                  <c:v>29.8</c:v>
                </c:pt>
                <c:pt idx="217">
                  <c:v>30.3</c:v>
                </c:pt>
                <c:pt idx="218">
                  <c:v>30.4</c:v>
                </c:pt>
                <c:pt idx="219">
                  <c:v>29.9</c:v>
                </c:pt>
                <c:pt idx="220">
                  <c:v>30.1</c:v>
                </c:pt>
                <c:pt idx="221">
                  <c:v>29.6</c:v>
                </c:pt>
                <c:pt idx="222">
                  <c:v>29.4</c:v>
                </c:pt>
                <c:pt idx="223">
                  <c:v>28.8</c:v>
                </c:pt>
                <c:pt idx="224">
                  <c:v>29.3</c:v>
                </c:pt>
                <c:pt idx="225">
                  <c:v>29.2</c:v>
                </c:pt>
                <c:pt idx="226">
                  <c:v>29.2</c:v>
                </c:pt>
                <c:pt idx="227">
                  <c:v>29</c:v>
                </c:pt>
                <c:pt idx="228">
                  <c:v>30.3</c:v>
                </c:pt>
                <c:pt idx="229">
                  <c:v>30.1</c:v>
                </c:pt>
                <c:pt idx="230">
                  <c:v>28.1</c:v>
                </c:pt>
                <c:pt idx="231">
                  <c:v>26.5</c:v>
                </c:pt>
                <c:pt idx="232">
                  <c:v>27</c:v>
                </c:pt>
                <c:pt idx="233">
                  <c:v>26</c:v>
                </c:pt>
                <c:pt idx="234">
                  <c:v>26.3</c:v>
                </c:pt>
                <c:pt idx="235">
                  <c:v>27.3</c:v>
                </c:pt>
                <c:pt idx="236">
                  <c:v>25.8</c:v>
                </c:pt>
                <c:pt idx="237">
                  <c:v>25.3</c:v>
                </c:pt>
                <c:pt idx="238">
                  <c:v>25.3</c:v>
                </c:pt>
                <c:pt idx="239">
                  <c:v>25.6</c:v>
                </c:pt>
                <c:pt idx="240">
                  <c:v>28.9</c:v>
                </c:pt>
                <c:pt idx="241">
                  <c:v>26</c:v>
                </c:pt>
                <c:pt idx="242">
                  <c:v>27.3</c:v>
                </c:pt>
                <c:pt idx="243">
                  <c:v>27.7</c:v>
                </c:pt>
                <c:pt idx="244">
                  <c:v>27.6</c:v>
                </c:pt>
                <c:pt idx="245">
                  <c:v>25.8</c:v>
                </c:pt>
                <c:pt idx="246">
                  <c:v>23.7</c:v>
                </c:pt>
                <c:pt idx="247">
                  <c:v>25.7</c:v>
                </c:pt>
                <c:pt idx="248">
                  <c:v>27.9</c:v>
                </c:pt>
                <c:pt idx="249">
                  <c:v>28.4</c:v>
                </c:pt>
                <c:pt idx="250">
                  <c:v>29.1</c:v>
                </c:pt>
                <c:pt idx="251">
                  <c:v>29</c:v>
                </c:pt>
                <c:pt idx="252">
                  <c:v>29.9</c:v>
                </c:pt>
                <c:pt idx="253">
                  <c:v>27.4</c:v>
                </c:pt>
                <c:pt idx="254">
                  <c:v>25.1</c:v>
                </c:pt>
                <c:pt idx="255">
                  <c:v>22.4</c:v>
                </c:pt>
                <c:pt idx="256">
                  <c:v>22.1</c:v>
                </c:pt>
                <c:pt idx="257">
                  <c:v>25.2</c:v>
                </c:pt>
                <c:pt idx="258">
                  <c:v>22.9</c:v>
                </c:pt>
                <c:pt idx="259">
                  <c:v>25.8</c:v>
                </c:pt>
                <c:pt idx="260">
                  <c:v>21.2</c:v>
                </c:pt>
                <c:pt idx="261">
                  <c:v>22.1</c:v>
                </c:pt>
                <c:pt idx="262">
                  <c:v>22.8</c:v>
                </c:pt>
                <c:pt idx="263">
                  <c:v>21.8</c:v>
                </c:pt>
                <c:pt idx="264">
                  <c:v>22.4</c:v>
                </c:pt>
                <c:pt idx="265">
                  <c:v>26</c:v>
                </c:pt>
                <c:pt idx="266">
                  <c:v>25.4</c:v>
                </c:pt>
                <c:pt idx="267">
                  <c:v>24.3</c:v>
                </c:pt>
                <c:pt idx="268">
                  <c:v>22.8</c:v>
                </c:pt>
                <c:pt idx="269">
                  <c:v>23</c:v>
                </c:pt>
                <c:pt idx="270">
                  <c:v>24.4</c:v>
                </c:pt>
                <c:pt idx="271">
                  <c:v>24.7</c:v>
                </c:pt>
                <c:pt idx="272">
                  <c:v>25.2</c:v>
                </c:pt>
                <c:pt idx="273">
                  <c:v>24.5</c:v>
                </c:pt>
                <c:pt idx="274">
                  <c:v>23.9</c:v>
                </c:pt>
                <c:pt idx="275">
                  <c:v>24.5</c:v>
                </c:pt>
                <c:pt idx="276">
                  <c:v>24.8</c:v>
                </c:pt>
                <c:pt idx="277">
                  <c:v>26.1</c:v>
                </c:pt>
                <c:pt idx="278">
                  <c:v>20.5</c:v>
                </c:pt>
                <c:pt idx="279">
                  <c:v>20</c:v>
                </c:pt>
                <c:pt idx="280">
                  <c:v>21.7</c:v>
                </c:pt>
                <c:pt idx="281">
                  <c:v>20.8</c:v>
                </c:pt>
                <c:pt idx="282">
                  <c:v>19.399999999999999</c:v>
                </c:pt>
                <c:pt idx="283">
                  <c:v>19.600000000000001</c:v>
                </c:pt>
                <c:pt idx="284">
                  <c:v>23.3</c:v>
                </c:pt>
                <c:pt idx="285">
                  <c:v>24.5</c:v>
                </c:pt>
                <c:pt idx="286">
                  <c:v>17</c:v>
                </c:pt>
                <c:pt idx="287">
                  <c:v>18.399999999999999</c:v>
                </c:pt>
                <c:pt idx="288">
                  <c:v>16.100000000000001</c:v>
                </c:pt>
                <c:pt idx="289">
                  <c:v>16.2</c:v>
                </c:pt>
                <c:pt idx="290">
                  <c:v>16.5</c:v>
                </c:pt>
                <c:pt idx="291">
                  <c:v>17.399999999999999</c:v>
                </c:pt>
                <c:pt idx="292">
                  <c:v>20.100000000000001</c:v>
                </c:pt>
                <c:pt idx="293">
                  <c:v>18.2</c:v>
                </c:pt>
                <c:pt idx="294">
                  <c:v>15.4</c:v>
                </c:pt>
                <c:pt idx="295">
                  <c:v>18.5</c:v>
                </c:pt>
                <c:pt idx="296">
                  <c:v>18.100000000000001</c:v>
                </c:pt>
                <c:pt idx="297">
                  <c:v>15.1</c:v>
                </c:pt>
                <c:pt idx="298">
                  <c:v>18.100000000000001</c:v>
                </c:pt>
                <c:pt idx="299">
                  <c:v>18.3</c:v>
                </c:pt>
                <c:pt idx="300">
                  <c:v>17.399999999999999</c:v>
                </c:pt>
                <c:pt idx="301">
                  <c:v>14.5</c:v>
                </c:pt>
                <c:pt idx="302">
                  <c:v>16.5</c:v>
                </c:pt>
                <c:pt idx="303">
                  <c:v>16.8</c:v>
                </c:pt>
                <c:pt idx="304">
                  <c:v>17.399999999999999</c:v>
                </c:pt>
                <c:pt idx="305">
                  <c:v>15.7</c:v>
                </c:pt>
                <c:pt idx="306">
                  <c:v>15.8</c:v>
                </c:pt>
                <c:pt idx="307">
                  <c:v>14.6</c:v>
                </c:pt>
                <c:pt idx="308">
                  <c:v>13.7</c:v>
                </c:pt>
                <c:pt idx="309">
                  <c:v>14.3</c:v>
                </c:pt>
                <c:pt idx="310">
                  <c:v>16</c:v>
                </c:pt>
                <c:pt idx="311">
                  <c:v>15.1</c:v>
                </c:pt>
                <c:pt idx="312">
                  <c:v>13.3</c:v>
                </c:pt>
                <c:pt idx="313">
                  <c:v>13.9</c:v>
                </c:pt>
                <c:pt idx="314">
                  <c:v>12.9</c:v>
                </c:pt>
                <c:pt idx="315">
                  <c:v>15.1</c:v>
                </c:pt>
                <c:pt idx="316">
                  <c:v>13.3</c:v>
                </c:pt>
                <c:pt idx="317">
                  <c:v>16.899999999999999</c:v>
                </c:pt>
                <c:pt idx="318">
                  <c:v>12.6</c:v>
                </c:pt>
                <c:pt idx="319">
                  <c:v>12.8</c:v>
                </c:pt>
                <c:pt idx="320">
                  <c:v>13.4</c:v>
                </c:pt>
                <c:pt idx="321">
                  <c:v>16.100000000000001</c:v>
                </c:pt>
                <c:pt idx="322">
                  <c:v>15.8</c:v>
                </c:pt>
                <c:pt idx="323">
                  <c:v>12</c:v>
                </c:pt>
                <c:pt idx="324">
                  <c:v>11.3</c:v>
                </c:pt>
                <c:pt idx="325">
                  <c:v>8.1</c:v>
                </c:pt>
                <c:pt idx="326">
                  <c:v>11.3</c:v>
                </c:pt>
                <c:pt idx="327">
                  <c:v>15.9</c:v>
                </c:pt>
                <c:pt idx="328">
                  <c:v>16.600000000000001</c:v>
                </c:pt>
                <c:pt idx="329">
                  <c:v>8.8000000000000007</c:v>
                </c:pt>
                <c:pt idx="330">
                  <c:v>9.3000000000000007</c:v>
                </c:pt>
                <c:pt idx="331">
                  <c:v>8.5</c:v>
                </c:pt>
                <c:pt idx="332">
                  <c:v>5.2</c:v>
                </c:pt>
                <c:pt idx="333">
                  <c:v>7.3</c:v>
                </c:pt>
                <c:pt idx="334">
                  <c:v>7.4</c:v>
                </c:pt>
                <c:pt idx="335">
                  <c:v>9.5</c:v>
                </c:pt>
                <c:pt idx="336">
                  <c:v>11.8</c:v>
                </c:pt>
                <c:pt idx="337">
                  <c:v>10.199999999999999</c:v>
                </c:pt>
                <c:pt idx="338">
                  <c:v>9.6</c:v>
                </c:pt>
                <c:pt idx="339">
                  <c:v>8</c:v>
                </c:pt>
                <c:pt idx="340">
                  <c:v>5.5</c:v>
                </c:pt>
                <c:pt idx="341">
                  <c:v>7.4</c:v>
                </c:pt>
                <c:pt idx="342">
                  <c:v>6.4</c:v>
                </c:pt>
                <c:pt idx="343">
                  <c:v>10.199999999999999</c:v>
                </c:pt>
                <c:pt idx="344">
                  <c:v>11.7</c:v>
                </c:pt>
                <c:pt idx="345">
                  <c:v>11.7</c:v>
                </c:pt>
                <c:pt idx="346">
                  <c:v>7.5</c:v>
                </c:pt>
                <c:pt idx="347">
                  <c:v>9.4</c:v>
                </c:pt>
                <c:pt idx="348">
                  <c:v>8.6999999999999993</c:v>
                </c:pt>
                <c:pt idx="349">
                  <c:v>7.8</c:v>
                </c:pt>
                <c:pt idx="350">
                  <c:v>8.1999999999999993</c:v>
                </c:pt>
                <c:pt idx="351">
                  <c:v>11.1</c:v>
                </c:pt>
                <c:pt idx="352">
                  <c:v>9</c:v>
                </c:pt>
                <c:pt idx="353">
                  <c:v>10.6</c:v>
                </c:pt>
                <c:pt idx="354">
                  <c:v>8.1</c:v>
                </c:pt>
                <c:pt idx="355">
                  <c:v>6.8</c:v>
                </c:pt>
                <c:pt idx="356">
                  <c:v>6.8</c:v>
                </c:pt>
                <c:pt idx="357">
                  <c:v>8.1999999999999993</c:v>
                </c:pt>
                <c:pt idx="358">
                  <c:v>5.9</c:v>
                </c:pt>
                <c:pt idx="359">
                  <c:v>7.8</c:v>
                </c:pt>
                <c:pt idx="360">
                  <c:v>8.6999999999999993</c:v>
                </c:pt>
                <c:pt idx="361">
                  <c:v>6.8</c:v>
                </c:pt>
                <c:pt idx="362">
                  <c:v>7</c:v>
                </c:pt>
                <c:pt idx="363">
                  <c:v>6.7</c:v>
                </c:pt>
                <c:pt idx="364">
                  <c:v>8.1999999999999993</c:v>
                </c:pt>
              </c:numCache>
            </c:numRef>
          </c:xVal>
          <c:yVal>
            <c:numRef>
              <c:f>気温による線形回帰!$D$3:$D$367</c:f>
              <c:numCache>
                <c:formatCode>General</c:formatCode>
                <c:ptCount val="365"/>
                <c:pt idx="0">
                  <c:v>101</c:v>
                </c:pt>
                <c:pt idx="1">
                  <c:v>119</c:v>
                </c:pt>
                <c:pt idx="2">
                  <c:v>98</c:v>
                </c:pt>
                <c:pt idx="3">
                  <c:v>106</c:v>
                </c:pt>
                <c:pt idx="4">
                  <c:v>174</c:v>
                </c:pt>
                <c:pt idx="5">
                  <c:v>206</c:v>
                </c:pt>
                <c:pt idx="6">
                  <c:v>90</c:v>
                </c:pt>
                <c:pt idx="7">
                  <c:v>110</c:v>
                </c:pt>
                <c:pt idx="8">
                  <c:v>117</c:v>
                </c:pt>
                <c:pt idx="9">
                  <c:v>104</c:v>
                </c:pt>
                <c:pt idx="10">
                  <c:v>117</c:v>
                </c:pt>
                <c:pt idx="11">
                  <c:v>161</c:v>
                </c:pt>
                <c:pt idx="12">
                  <c:v>176</c:v>
                </c:pt>
                <c:pt idx="13">
                  <c:v>87</c:v>
                </c:pt>
                <c:pt idx="14">
                  <c:v>100</c:v>
                </c:pt>
                <c:pt idx="15">
                  <c:v>130</c:v>
                </c:pt>
                <c:pt idx="16">
                  <c:v>117</c:v>
                </c:pt>
                <c:pt idx="17">
                  <c:v>102</c:v>
                </c:pt>
                <c:pt idx="18">
                  <c:v>160</c:v>
                </c:pt>
                <c:pt idx="19">
                  <c:v>187</c:v>
                </c:pt>
                <c:pt idx="20">
                  <c:v>90</c:v>
                </c:pt>
                <c:pt idx="21">
                  <c:v>98</c:v>
                </c:pt>
                <c:pt idx="22">
                  <c:v>139</c:v>
                </c:pt>
                <c:pt idx="23">
                  <c:v>112</c:v>
                </c:pt>
                <c:pt idx="24">
                  <c:v>111</c:v>
                </c:pt>
                <c:pt idx="25">
                  <c:v>152</c:v>
                </c:pt>
                <c:pt idx="26">
                  <c:v>170</c:v>
                </c:pt>
                <c:pt idx="27">
                  <c:v>80</c:v>
                </c:pt>
                <c:pt idx="28">
                  <c:v>115</c:v>
                </c:pt>
                <c:pt idx="29">
                  <c:v>120</c:v>
                </c:pt>
                <c:pt idx="30">
                  <c:v>94</c:v>
                </c:pt>
                <c:pt idx="31">
                  <c:v>97</c:v>
                </c:pt>
                <c:pt idx="32">
                  <c:v>149</c:v>
                </c:pt>
                <c:pt idx="33">
                  <c:v>176</c:v>
                </c:pt>
                <c:pt idx="34">
                  <c:v>114</c:v>
                </c:pt>
                <c:pt idx="35">
                  <c:v>122</c:v>
                </c:pt>
                <c:pt idx="36">
                  <c:v>119</c:v>
                </c:pt>
                <c:pt idx="37">
                  <c:v>123</c:v>
                </c:pt>
                <c:pt idx="38">
                  <c:v>110</c:v>
                </c:pt>
                <c:pt idx="39">
                  <c:v>125</c:v>
                </c:pt>
                <c:pt idx="40">
                  <c:v>162</c:v>
                </c:pt>
                <c:pt idx="41">
                  <c:v>81</c:v>
                </c:pt>
                <c:pt idx="42">
                  <c:v>101</c:v>
                </c:pt>
                <c:pt idx="43">
                  <c:v>124</c:v>
                </c:pt>
                <c:pt idx="44">
                  <c:v>97</c:v>
                </c:pt>
                <c:pt idx="45">
                  <c:v>98</c:v>
                </c:pt>
                <c:pt idx="46">
                  <c:v>166</c:v>
                </c:pt>
                <c:pt idx="47">
                  <c:v>186</c:v>
                </c:pt>
                <c:pt idx="48">
                  <c:v>90</c:v>
                </c:pt>
                <c:pt idx="49">
                  <c:v>127</c:v>
                </c:pt>
                <c:pt idx="50">
                  <c:v>165</c:v>
                </c:pt>
                <c:pt idx="51">
                  <c:v>115</c:v>
                </c:pt>
                <c:pt idx="52">
                  <c:v>125</c:v>
                </c:pt>
                <c:pt idx="53">
                  <c:v>173</c:v>
                </c:pt>
                <c:pt idx="54">
                  <c:v>182</c:v>
                </c:pt>
                <c:pt idx="55">
                  <c:v>109</c:v>
                </c:pt>
                <c:pt idx="56">
                  <c:v>116</c:v>
                </c:pt>
                <c:pt idx="57">
                  <c:v>143</c:v>
                </c:pt>
                <c:pt idx="58">
                  <c:v>86</c:v>
                </c:pt>
                <c:pt idx="59">
                  <c:v>110</c:v>
                </c:pt>
                <c:pt idx="60">
                  <c:v>166</c:v>
                </c:pt>
                <c:pt idx="61">
                  <c:v>158</c:v>
                </c:pt>
                <c:pt idx="62">
                  <c:v>58</c:v>
                </c:pt>
                <c:pt idx="63">
                  <c:v>134</c:v>
                </c:pt>
                <c:pt idx="64">
                  <c:v>150</c:v>
                </c:pt>
                <c:pt idx="65">
                  <c:v>86</c:v>
                </c:pt>
                <c:pt idx="66">
                  <c:v>126</c:v>
                </c:pt>
                <c:pt idx="67">
                  <c:v>154</c:v>
                </c:pt>
                <c:pt idx="68">
                  <c:v>207</c:v>
                </c:pt>
                <c:pt idx="69">
                  <c:v>79</c:v>
                </c:pt>
                <c:pt idx="70">
                  <c:v>132</c:v>
                </c:pt>
                <c:pt idx="71">
                  <c:v>140</c:v>
                </c:pt>
                <c:pt idx="72">
                  <c:v>109</c:v>
                </c:pt>
                <c:pt idx="73">
                  <c:v>120</c:v>
                </c:pt>
                <c:pt idx="74">
                  <c:v>164</c:v>
                </c:pt>
                <c:pt idx="75">
                  <c:v>222</c:v>
                </c:pt>
                <c:pt idx="76">
                  <c:v>100</c:v>
                </c:pt>
                <c:pt idx="77">
                  <c:v>134</c:v>
                </c:pt>
                <c:pt idx="78">
                  <c:v>158</c:v>
                </c:pt>
                <c:pt idx="79">
                  <c:v>140</c:v>
                </c:pt>
                <c:pt idx="80">
                  <c:v>136</c:v>
                </c:pt>
                <c:pt idx="81">
                  <c:v>156</c:v>
                </c:pt>
                <c:pt idx="82">
                  <c:v>218</c:v>
                </c:pt>
                <c:pt idx="83">
                  <c:v>91</c:v>
                </c:pt>
                <c:pt idx="84">
                  <c:v>126</c:v>
                </c:pt>
                <c:pt idx="85">
                  <c:v>162</c:v>
                </c:pt>
                <c:pt idx="86">
                  <c:v>137</c:v>
                </c:pt>
                <c:pt idx="87">
                  <c:v>105</c:v>
                </c:pt>
                <c:pt idx="88">
                  <c:v>171</c:v>
                </c:pt>
                <c:pt idx="89">
                  <c:v>220</c:v>
                </c:pt>
                <c:pt idx="90">
                  <c:v>89</c:v>
                </c:pt>
                <c:pt idx="91">
                  <c:v>126</c:v>
                </c:pt>
                <c:pt idx="92">
                  <c:v>149</c:v>
                </c:pt>
                <c:pt idx="93">
                  <c:v>127</c:v>
                </c:pt>
                <c:pt idx="94">
                  <c:v>130</c:v>
                </c:pt>
                <c:pt idx="95">
                  <c:v>173</c:v>
                </c:pt>
                <c:pt idx="96">
                  <c:v>245</c:v>
                </c:pt>
                <c:pt idx="97">
                  <c:v>96</c:v>
                </c:pt>
                <c:pt idx="98">
                  <c:v>117</c:v>
                </c:pt>
                <c:pt idx="99">
                  <c:v>100</c:v>
                </c:pt>
                <c:pt idx="100">
                  <c:v>121</c:v>
                </c:pt>
                <c:pt idx="101">
                  <c:v>119</c:v>
                </c:pt>
                <c:pt idx="102">
                  <c:v>193</c:v>
                </c:pt>
                <c:pt idx="103">
                  <c:v>202</c:v>
                </c:pt>
                <c:pt idx="104">
                  <c:v>114</c:v>
                </c:pt>
                <c:pt idx="105">
                  <c:v>146</c:v>
                </c:pt>
                <c:pt idx="106">
                  <c:v>165</c:v>
                </c:pt>
                <c:pt idx="107">
                  <c:v>141</c:v>
                </c:pt>
                <c:pt idx="108">
                  <c:v>161</c:v>
                </c:pt>
                <c:pt idx="109">
                  <c:v>202</c:v>
                </c:pt>
                <c:pt idx="110">
                  <c:v>235</c:v>
                </c:pt>
                <c:pt idx="111">
                  <c:v>131</c:v>
                </c:pt>
                <c:pt idx="112">
                  <c:v>162</c:v>
                </c:pt>
                <c:pt idx="113">
                  <c:v>177</c:v>
                </c:pt>
                <c:pt idx="114">
                  <c:v>155</c:v>
                </c:pt>
                <c:pt idx="115">
                  <c:v>131</c:v>
                </c:pt>
                <c:pt idx="116">
                  <c:v>157</c:v>
                </c:pt>
                <c:pt idx="117">
                  <c:v>224</c:v>
                </c:pt>
                <c:pt idx="118">
                  <c:v>126</c:v>
                </c:pt>
                <c:pt idx="119">
                  <c:v>123</c:v>
                </c:pt>
                <c:pt idx="120">
                  <c:v>147</c:v>
                </c:pt>
                <c:pt idx="121">
                  <c:v>157</c:v>
                </c:pt>
                <c:pt idx="122">
                  <c:v>148</c:v>
                </c:pt>
                <c:pt idx="123">
                  <c:v>216</c:v>
                </c:pt>
                <c:pt idx="124">
                  <c:v>218</c:v>
                </c:pt>
                <c:pt idx="125">
                  <c:v>124</c:v>
                </c:pt>
                <c:pt idx="126">
                  <c:v>135</c:v>
                </c:pt>
                <c:pt idx="127">
                  <c:v>178</c:v>
                </c:pt>
                <c:pt idx="128">
                  <c:v>163</c:v>
                </c:pt>
                <c:pt idx="129">
                  <c:v>155</c:v>
                </c:pt>
                <c:pt idx="130">
                  <c:v>217</c:v>
                </c:pt>
                <c:pt idx="131">
                  <c:v>236</c:v>
                </c:pt>
                <c:pt idx="132">
                  <c:v>127</c:v>
                </c:pt>
                <c:pt idx="133">
                  <c:v>139</c:v>
                </c:pt>
                <c:pt idx="134">
                  <c:v>181</c:v>
                </c:pt>
                <c:pt idx="135">
                  <c:v>159</c:v>
                </c:pt>
                <c:pt idx="136">
                  <c:v>162</c:v>
                </c:pt>
                <c:pt idx="137">
                  <c:v>194</c:v>
                </c:pt>
                <c:pt idx="138">
                  <c:v>240</c:v>
                </c:pt>
                <c:pt idx="139">
                  <c:v>134</c:v>
                </c:pt>
                <c:pt idx="140">
                  <c:v>69</c:v>
                </c:pt>
                <c:pt idx="141">
                  <c:v>183</c:v>
                </c:pt>
                <c:pt idx="142">
                  <c:v>151</c:v>
                </c:pt>
                <c:pt idx="143">
                  <c:v>172</c:v>
                </c:pt>
                <c:pt idx="144">
                  <c:v>231</c:v>
                </c:pt>
                <c:pt idx="145">
                  <c:v>248</c:v>
                </c:pt>
                <c:pt idx="146">
                  <c:v>149</c:v>
                </c:pt>
                <c:pt idx="147">
                  <c:v>168</c:v>
                </c:pt>
                <c:pt idx="148">
                  <c:v>174</c:v>
                </c:pt>
                <c:pt idx="149">
                  <c:v>164</c:v>
                </c:pt>
                <c:pt idx="150">
                  <c:v>175</c:v>
                </c:pt>
                <c:pt idx="151">
                  <c:v>207</c:v>
                </c:pt>
                <c:pt idx="152">
                  <c:v>227</c:v>
                </c:pt>
                <c:pt idx="153">
                  <c:v>140</c:v>
                </c:pt>
                <c:pt idx="154">
                  <c:v>168</c:v>
                </c:pt>
                <c:pt idx="155">
                  <c:v>178</c:v>
                </c:pt>
                <c:pt idx="156">
                  <c:v>167</c:v>
                </c:pt>
                <c:pt idx="157">
                  <c:v>137</c:v>
                </c:pt>
                <c:pt idx="158">
                  <c:v>215</c:v>
                </c:pt>
                <c:pt idx="159">
                  <c:v>212</c:v>
                </c:pt>
                <c:pt idx="160">
                  <c:v>31</c:v>
                </c:pt>
                <c:pt idx="161">
                  <c:v>155</c:v>
                </c:pt>
                <c:pt idx="162">
                  <c:v>160</c:v>
                </c:pt>
                <c:pt idx="163">
                  <c:v>151</c:v>
                </c:pt>
                <c:pt idx="164">
                  <c:v>176</c:v>
                </c:pt>
                <c:pt idx="165">
                  <c:v>144</c:v>
                </c:pt>
                <c:pt idx="166">
                  <c:v>234</c:v>
                </c:pt>
                <c:pt idx="167">
                  <c:v>155</c:v>
                </c:pt>
                <c:pt idx="168">
                  <c:v>181</c:v>
                </c:pt>
                <c:pt idx="169">
                  <c:v>190</c:v>
                </c:pt>
                <c:pt idx="170">
                  <c:v>183</c:v>
                </c:pt>
                <c:pt idx="171">
                  <c:v>184</c:v>
                </c:pt>
                <c:pt idx="172">
                  <c:v>219</c:v>
                </c:pt>
                <c:pt idx="173">
                  <c:v>245</c:v>
                </c:pt>
                <c:pt idx="174">
                  <c:v>102</c:v>
                </c:pt>
                <c:pt idx="175">
                  <c:v>157</c:v>
                </c:pt>
                <c:pt idx="176">
                  <c:v>191</c:v>
                </c:pt>
                <c:pt idx="177">
                  <c:v>169</c:v>
                </c:pt>
                <c:pt idx="178">
                  <c:v>183</c:v>
                </c:pt>
                <c:pt idx="179">
                  <c:v>203</c:v>
                </c:pt>
                <c:pt idx="180">
                  <c:v>240</c:v>
                </c:pt>
                <c:pt idx="181">
                  <c:v>135</c:v>
                </c:pt>
                <c:pt idx="182">
                  <c:v>185</c:v>
                </c:pt>
                <c:pt idx="183">
                  <c:v>204</c:v>
                </c:pt>
                <c:pt idx="184">
                  <c:v>167</c:v>
                </c:pt>
                <c:pt idx="185">
                  <c:v>160</c:v>
                </c:pt>
                <c:pt idx="186">
                  <c:v>194</c:v>
                </c:pt>
                <c:pt idx="187">
                  <c:v>214</c:v>
                </c:pt>
                <c:pt idx="188">
                  <c:v>146</c:v>
                </c:pt>
                <c:pt idx="189">
                  <c:v>165</c:v>
                </c:pt>
                <c:pt idx="190">
                  <c:v>197</c:v>
                </c:pt>
                <c:pt idx="191">
                  <c:v>163</c:v>
                </c:pt>
                <c:pt idx="192">
                  <c:v>151</c:v>
                </c:pt>
                <c:pt idx="193">
                  <c:v>202</c:v>
                </c:pt>
                <c:pt idx="194">
                  <c:v>225</c:v>
                </c:pt>
                <c:pt idx="195">
                  <c:v>133</c:v>
                </c:pt>
                <c:pt idx="196">
                  <c:v>138</c:v>
                </c:pt>
                <c:pt idx="197">
                  <c:v>182</c:v>
                </c:pt>
                <c:pt idx="198">
                  <c:v>165</c:v>
                </c:pt>
                <c:pt idx="199">
                  <c:v>167</c:v>
                </c:pt>
                <c:pt idx="200">
                  <c:v>230</c:v>
                </c:pt>
                <c:pt idx="201">
                  <c:v>250</c:v>
                </c:pt>
                <c:pt idx="202">
                  <c:v>148</c:v>
                </c:pt>
                <c:pt idx="203">
                  <c:v>169</c:v>
                </c:pt>
                <c:pt idx="204">
                  <c:v>198</c:v>
                </c:pt>
                <c:pt idx="205">
                  <c:v>192</c:v>
                </c:pt>
                <c:pt idx="206">
                  <c:v>184</c:v>
                </c:pt>
                <c:pt idx="207">
                  <c:v>230</c:v>
                </c:pt>
                <c:pt idx="208">
                  <c:v>267</c:v>
                </c:pt>
                <c:pt idx="209">
                  <c:v>173</c:v>
                </c:pt>
                <c:pt idx="210">
                  <c:v>190</c:v>
                </c:pt>
                <c:pt idx="211">
                  <c:v>215</c:v>
                </c:pt>
                <c:pt idx="212">
                  <c:v>203</c:v>
                </c:pt>
                <c:pt idx="213">
                  <c:v>189</c:v>
                </c:pt>
                <c:pt idx="214">
                  <c:v>252</c:v>
                </c:pt>
                <c:pt idx="215">
                  <c:v>269</c:v>
                </c:pt>
                <c:pt idx="216">
                  <c:v>165</c:v>
                </c:pt>
                <c:pt idx="217">
                  <c:v>190</c:v>
                </c:pt>
                <c:pt idx="218">
                  <c:v>223</c:v>
                </c:pt>
                <c:pt idx="219">
                  <c:v>186</c:v>
                </c:pt>
                <c:pt idx="220">
                  <c:v>187</c:v>
                </c:pt>
                <c:pt idx="221">
                  <c:v>239</c:v>
                </c:pt>
                <c:pt idx="222">
                  <c:v>276</c:v>
                </c:pt>
                <c:pt idx="223">
                  <c:v>161</c:v>
                </c:pt>
                <c:pt idx="224">
                  <c:v>184</c:v>
                </c:pt>
                <c:pt idx="225">
                  <c:v>215</c:v>
                </c:pt>
                <c:pt idx="226">
                  <c:v>166</c:v>
                </c:pt>
                <c:pt idx="227">
                  <c:v>198</c:v>
                </c:pt>
                <c:pt idx="228">
                  <c:v>242</c:v>
                </c:pt>
                <c:pt idx="229">
                  <c:v>291</c:v>
                </c:pt>
                <c:pt idx="230">
                  <c:v>168</c:v>
                </c:pt>
                <c:pt idx="231">
                  <c:v>182</c:v>
                </c:pt>
                <c:pt idx="232">
                  <c:v>210</c:v>
                </c:pt>
                <c:pt idx="233">
                  <c:v>169</c:v>
                </c:pt>
                <c:pt idx="234">
                  <c:v>176</c:v>
                </c:pt>
                <c:pt idx="235">
                  <c:v>236</c:v>
                </c:pt>
                <c:pt idx="236">
                  <c:v>259</c:v>
                </c:pt>
                <c:pt idx="237">
                  <c:v>158</c:v>
                </c:pt>
                <c:pt idx="238">
                  <c:v>182</c:v>
                </c:pt>
                <c:pt idx="239">
                  <c:v>194</c:v>
                </c:pt>
                <c:pt idx="240">
                  <c:v>182</c:v>
                </c:pt>
                <c:pt idx="241">
                  <c:v>174</c:v>
                </c:pt>
                <c:pt idx="242">
                  <c:v>223</c:v>
                </c:pt>
                <c:pt idx="243">
                  <c:v>260</c:v>
                </c:pt>
                <c:pt idx="244">
                  <c:v>163</c:v>
                </c:pt>
                <c:pt idx="245">
                  <c:v>174</c:v>
                </c:pt>
                <c:pt idx="246">
                  <c:v>198</c:v>
                </c:pt>
                <c:pt idx="247">
                  <c:v>183</c:v>
                </c:pt>
                <c:pt idx="248">
                  <c:v>196</c:v>
                </c:pt>
                <c:pt idx="249">
                  <c:v>239</c:v>
                </c:pt>
                <c:pt idx="250">
                  <c:v>242</c:v>
                </c:pt>
                <c:pt idx="251">
                  <c:v>42</c:v>
                </c:pt>
                <c:pt idx="252">
                  <c:v>185</c:v>
                </c:pt>
                <c:pt idx="253">
                  <c:v>210</c:v>
                </c:pt>
                <c:pt idx="254">
                  <c:v>173</c:v>
                </c:pt>
                <c:pt idx="255">
                  <c:v>160</c:v>
                </c:pt>
                <c:pt idx="256">
                  <c:v>224</c:v>
                </c:pt>
                <c:pt idx="257">
                  <c:v>276</c:v>
                </c:pt>
                <c:pt idx="258">
                  <c:v>122</c:v>
                </c:pt>
                <c:pt idx="259">
                  <c:v>169</c:v>
                </c:pt>
                <c:pt idx="260">
                  <c:v>164</c:v>
                </c:pt>
                <c:pt idx="261">
                  <c:v>172</c:v>
                </c:pt>
                <c:pt idx="262">
                  <c:v>158</c:v>
                </c:pt>
                <c:pt idx="263">
                  <c:v>210</c:v>
                </c:pt>
                <c:pt idx="264">
                  <c:v>235</c:v>
                </c:pt>
                <c:pt idx="265">
                  <c:v>152</c:v>
                </c:pt>
                <c:pt idx="266">
                  <c:v>180</c:v>
                </c:pt>
                <c:pt idx="267">
                  <c:v>208</c:v>
                </c:pt>
                <c:pt idx="268">
                  <c:v>181</c:v>
                </c:pt>
                <c:pt idx="269">
                  <c:v>176</c:v>
                </c:pt>
                <c:pt idx="270">
                  <c:v>213</c:v>
                </c:pt>
                <c:pt idx="271">
                  <c:v>256</c:v>
                </c:pt>
                <c:pt idx="272">
                  <c:v>162</c:v>
                </c:pt>
                <c:pt idx="273">
                  <c:v>174</c:v>
                </c:pt>
                <c:pt idx="274">
                  <c:v>193</c:v>
                </c:pt>
                <c:pt idx="275">
                  <c:v>171</c:v>
                </c:pt>
                <c:pt idx="276">
                  <c:v>161</c:v>
                </c:pt>
                <c:pt idx="277">
                  <c:v>236</c:v>
                </c:pt>
                <c:pt idx="278">
                  <c:v>217</c:v>
                </c:pt>
                <c:pt idx="279">
                  <c:v>138</c:v>
                </c:pt>
                <c:pt idx="280">
                  <c:v>166</c:v>
                </c:pt>
                <c:pt idx="281">
                  <c:v>196</c:v>
                </c:pt>
                <c:pt idx="282">
                  <c:v>154</c:v>
                </c:pt>
                <c:pt idx="283">
                  <c:v>150</c:v>
                </c:pt>
                <c:pt idx="284">
                  <c:v>0</c:v>
                </c:pt>
                <c:pt idx="285">
                  <c:v>249</c:v>
                </c:pt>
                <c:pt idx="286">
                  <c:v>124</c:v>
                </c:pt>
                <c:pt idx="287">
                  <c:v>146</c:v>
                </c:pt>
                <c:pt idx="288">
                  <c:v>170</c:v>
                </c:pt>
                <c:pt idx="289">
                  <c:v>147</c:v>
                </c:pt>
                <c:pt idx="290">
                  <c:v>135</c:v>
                </c:pt>
                <c:pt idx="291">
                  <c:v>123</c:v>
                </c:pt>
                <c:pt idx="292">
                  <c:v>252</c:v>
                </c:pt>
                <c:pt idx="293">
                  <c:v>115</c:v>
                </c:pt>
                <c:pt idx="294">
                  <c:v>84</c:v>
                </c:pt>
                <c:pt idx="295">
                  <c:v>184</c:v>
                </c:pt>
                <c:pt idx="296">
                  <c:v>139</c:v>
                </c:pt>
                <c:pt idx="297">
                  <c:v>7</c:v>
                </c:pt>
                <c:pt idx="298">
                  <c:v>206</c:v>
                </c:pt>
                <c:pt idx="299">
                  <c:v>249</c:v>
                </c:pt>
                <c:pt idx="300">
                  <c:v>132</c:v>
                </c:pt>
                <c:pt idx="301">
                  <c:v>116</c:v>
                </c:pt>
                <c:pt idx="302">
                  <c:v>182</c:v>
                </c:pt>
                <c:pt idx="303">
                  <c:v>146</c:v>
                </c:pt>
                <c:pt idx="304">
                  <c:v>153</c:v>
                </c:pt>
                <c:pt idx="305">
                  <c:v>198</c:v>
                </c:pt>
                <c:pt idx="306">
                  <c:v>213</c:v>
                </c:pt>
                <c:pt idx="307">
                  <c:v>115</c:v>
                </c:pt>
                <c:pt idx="308">
                  <c:v>128</c:v>
                </c:pt>
                <c:pt idx="309">
                  <c:v>160</c:v>
                </c:pt>
                <c:pt idx="310">
                  <c:v>136</c:v>
                </c:pt>
                <c:pt idx="311">
                  <c:v>132</c:v>
                </c:pt>
                <c:pt idx="312">
                  <c:v>168</c:v>
                </c:pt>
                <c:pt idx="313">
                  <c:v>238</c:v>
                </c:pt>
                <c:pt idx="314">
                  <c:v>113</c:v>
                </c:pt>
                <c:pt idx="315">
                  <c:v>145</c:v>
                </c:pt>
                <c:pt idx="316">
                  <c:v>152</c:v>
                </c:pt>
                <c:pt idx="317">
                  <c:v>140</c:v>
                </c:pt>
                <c:pt idx="318">
                  <c:v>136</c:v>
                </c:pt>
                <c:pt idx="319">
                  <c:v>168</c:v>
                </c:pt>
                <c:pt idx="320">
                  <c:v>226</c:v>
                </c:pt>
                <c:pt idx="321">
                  <c:v>114</c:v>
                </c:pt>
                <c:pt idx="322">
                  <c:v>152</c:v>
                </c:pt>
                <c:pt idx="323">
                  <c:v>166</c:v>
                </c:pt>
                <c:pt idx="324">
                  <c:v>134</c:v>
                </c:pt>
                <c:pt idx="325">
                  <c:v>62</c:v>
                </c:pt>
                <c:pt idx="326">
                  <c:v>117</c:v>
                </c:pt>
                <c:pt idx="327">
                  <c:v>226</c:v>
                </c:pt>
                <c:pt idx="328">
                  <c:v>128</c:v>
                </c:pt>
                <c:pt idx="329">
                  <c:v>113</c:v>
                </c:pt>
                <c:pt idx="330">
                  <c:v>128</c:v>
                </c:pt>
                <c:pt idx="331">
                  <c:v>109</c:v>
                </c:pt>
                <c:pt idx="332">
                  <c:v>96</c:v>
                </c:pt>
                <c:pt idx="333">
                  <c:v>143</c:v>
                </c:pt>
                <c:pt idx="334">
                  <c:v>211</c:v>
                </c:pt>
                <c:pt idx="335">
                  <c:v>60</c:v>
                </c:pt>
                <c:pt idx="336">
                  <c:v>129</c:v>
                </c:pt>
                <c:pt idx="337">
                  <c:v>162</c:v>
                </c:pt>
                <c:pt idx="338">
                  <c:v>115</c:v>
                </c:pt>
                <c:pt idx="339">
                  <c:v>112</c:v>
                </c:pt>
                <c:pt idx="340">
                  <c:v>143</c:v>
                </c:pt>
                <c:pt idx="341">
                  <c:v>196</c:v>
                </c:pt>
                <c:pt idx="342">
                  <c:v>80</c:v>
                </c:pt>
                <c:pt idx="343">
                  <c:v>113</c:v>
                </c:pt>
                <c:pt idx="344">
                  <c:v>156</c:v>
                </c:pt>
                <c:pt idx="345">
                  <c:v>144</c:v>
                </c:pt>
                <c:pt idx="346">
                  <c:v>108</c:v>
                </c:pt>
                <c:pt idx="347">
                  <c:v>169</c:v>
                </c:pt>
                <c:pt idx="348">
                  <c:v>212</c:v>
                </c:pt>
                <c:pt idx="349">
                  <c:v>83</c:v>
                </c:pt>
                <c:pt idx="350">
                  <c:v>126</c:v>
                </c:pt>
                <c:pt idx="351">
                  <c:v>151</c:v>
                </c:pt>
                <c:pt idx="352">
                  <c:v>121</c:v>
                </c:pt>
                <c:pt idx="353">
                  <c:v>128</c:v>
                </c:pt>
                <c:pt idx="354">
                  <c:v>165</c:v>
                </c:pt>
                <c:pt idx="355">
                  <c:v>157</c:v>
                </c:pt>
                <c:pt idx="356">
                  <c:v>77</c:v>
                </c:pt>
                <c:pt idx="357">
                  <c:v>120</c:v>
                </c:pt>
                <c:pt idx="358">
                  <c:v>143</c:v>
                </c:pt>
                <c:pt idx="359">
                  <c:v>107</c:v>
                </c:pt>
                <c:pt idx="360">
                  <c:v>125</c:v>
                </c:pt>
                <c:pt idx="361">
                  <c:v>168</c:v>
                </c:pt>
                <c:pt idx="362">
                  <c:v>199</c:v>
                </c:pt>
                <c:pt idx="363">
                  <c:v>88</c:v>
                </c:pt>
                <c:pt idx="364">
                  <c:v>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38-0345-AC0F-6DE479DD7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381231"/>
        <c:axId val="1249672719"/>
      </c:scatterChart>
      <c:valAx>
        <c:axId val="1249381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気温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9672719"/>
        <c:crosses val="autoZero"/>
        <c:crossBetween val="midCat"/>
      </c:valAx>
      <c:valAx>
        <c:axId val="124967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売上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9381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気温による線形回帰!$G$2</c:f>
              <c:strCache>
                <c:ptCount val="1"/>
                <c:pt idx="0">
                  <c:v>予測数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気温による線形回帰!$G$3:$G$48</c:f>
              <c:numCache>
                <c:formatCode>General</c:formatCode>
                <c:ptCount val="46"/>
                <c:pt idx="0">
                  <c:v>102.36877069994785</c:v>
                </c:pt>
                <c:pt idx="1">
                  <c:v>105.82530305461665</c:v>
                </c:pt>
                <c:pt idx="2">
                  <c:v>109.28183540928546</c:v>
                </c:pt>
                <c:pt idx="3">
                  <c:v>112.73836776395427</c:v>
                </c:pt>
                <c:pt idx="4">
                  <c:v>116.19490011862308</c:v>
                </c:pt>
                <c:pt idx="5">
                  <c:v>119.65143247329189</c:v>
                </c:pt>
                <c:pt idx="6">
                  <c:v>123.1079648279607</c:v>
                </c:pt>
                <c:pt idx="7">
                  <c:v>126.56449718262951</c:v>
                </c:pt>
                <c:pt idx="8">
                  <c:v>130.02102953729832</c:v>
                </c:pt>
                <c:pt idx="9">
                  <c:v>133.47756189196713</c:v>
                </c:pt>
                <c:pt idx="10">
                  <c:v>136.93409424663594</c:v>
                </c:pt>
                <c:pt idx="11">
                  <c:v>140.39062660130475</c:v>
                </c:pt>
                <c:pt idx="12">
                  <c:v>143.84715895597355</c:v>
                </c:pt>
                <c:pt idx="13">
                  <c:v>147.30369131064236</c:v>
                </c:pt>
                <c:pt idx="14">
                  <c:v>150.76022366531117</c:v>
                </c:pt>
                <c:pt idx="15">
                  <c:v>154.21675601997998</c:v>
                </c:pt>
                <c:pt idx="16">
                  <c:v>157.67328837464879</c:v>
                </c:pt>
                <c:pt idx="17">
                  <c:v>161.1298207293176</c:v>
                </c:pt>
                <c:pt idx="18">
                  <c:v>164.58635308398641</c:v>
                </c:pt>
                <c:pt idx="19">
                  <c:v>168.04288543865522</c:v>
                </c:pt>
                <c:pt idx="20">
                  <c:v>171.49941779332403</c:v>
                </c:pt>
                <c:pt idx="21">
                  <c:v>174.95595014799284</c:v>
                </c:pt>
                <c:pt idx="22">
                  <c:v>178.41248250266165</c:v>
                </c:pt>
                <c:pt idx="23">
                  <c:v>181.86901485733046</c:v>
                </c:pt>
                <c:pt idx="24">
                  <c:v>185.32554721199926</c:v>
                </c:pt>
                <c:pt idx="25">
                  <c:v>188.78207956666807</c:v>
                </c:pt>
                <c:pt idx="26">
                  <c:v>192.23861192133688</c:v>
                </c:pt>
                <c:pt idx="27">
                  <c:v>195.69514427600569</c:v>
                </c:pt>
                <c:pt idx="28">
                  <c:v>199.1516766306745</c:v>
                </c:pt>
                <c:pt idx="29">
                  <c:v>202.60820898534331</c:v>
                </c:pt>
                <c:pt idx="30">
                  <c:v>206.06474134001212</c:v>
                </c:pt>
                <c:pt idx="31">
                  <c:v>209.52127369468093</c:v>
                </c:pt>
                <c:pt idx="32">
                  <c:v>212.97780604934974</c:v>
                </c:pt>
                <c:pt idx="33">
                  <c:v>216.43433840401855</c:v>
                </c:pt>
                <c:pt idx="34">
                  <c:v>219.89087075868736</c:v>
                </c:pt>
                <c:pt idx="35">
                  <c:v>223.34740311335617</c:v>
                </c:pt>
                <c:pt idx="36">
                  <c:v>226.80393546802497</c:v>
                </c:pt>
                <c:pt idx="37">
                  <c:v>230.26046782269378</c:v>
                </c:pt>
                <c:pt idx="38">
                  <c:v>233.71700017736259</c:v>
                </c:pt>
                <c:pt idx="39">
                  <c:v>237.1735325320314</c:v>
                </c:pt>
                <c:pt idx="40">
                  <c:v>240.63006488670021</c:v>
                </c:pt>
                <c:pt idx="41">
                  <c:v>244.08659724136902</c:v>
                </c:pt>
                <c:pt idx="42">
                  <c:v>247.54312959603783</c:v>
                </c:pt>
                <c:pt idx="43">
                  <c:v>250.99966195070664</c:v>
                </c:pt>
                <c:pt idx="44">
                  <c:v>254.45619430537545</c:v>
                </c:pt>
                <c:pt idx="45">
                  <c:v>257.91272666004426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4B-0C4D-8789-A4986458A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7656208"/>
        <c:axId val="777666032"/>
      </c:lineChart>
      <c:catAx>
        <c:axId val="777656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77666032"/>
        <c:crosses val="autoZero"/>
        <c:auto val="1"/>
        <c:lblAlgn val="ctr"/>
        <c:lblOffset val="100"/>
        <c:noMultiLvlLbl val="0"/>
      </c:catAx>
      <c:valAx>
        <c:axId val="77766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7765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</cx:chartData>
  <cx:chart>
    <cx:title pos="t" align="ctr" overlay="0"/>
    <cx:plotArea>
      <cx:plotAreaRegion>
        <cx:series layoutId="boxWhisker" uniqueId="{13E1FCC1-C8B2-BA43-93B4-1DD49B267A17}">
          <cx:tx>
            <cx:txData>
              <cx:f>_xlchart.v1.0</cx:f>
              <cx:v>日曜日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6234538-7FCA-7746-934B-7B3E7834087E}">
          <cx:tx>
            <cx:txData>
              <cx:f>_xlchart.v1.2</cx:f>
              <cx:v>月曜日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FE41D191-EB32-7C4B-80D7-4E7FDF3B6763}">
          <cx:tx>
            <cx:txData>
              <cx:f>_xlchart.v1.4</cx:f>
              <cx:v>火曜日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B3FAC0F6-193A-C94E-818F-140123FBD8A2}">
          <cx:tx>
            <cx:txData>
              <cx:f>_xlchart.v1.6</cx:f>
              <cx:v>水曜日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6A680EAF-88ED-924D-A911-EC9ACC45C046}">
          <cx:tx>
            <cx:txData>
              <cx:f>_xlchart.v1.8</cx:f>
              <cx:v>木曜日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347DF1F8-06E9-D540-A4A1-3F07D4C27460}">
          <cx:tx>
            <cx:txData>
              <cx:f>_xlchart.v1.10</cx:f>
              <cx:v>金曜日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9A122BD8-8565-1D40-8E73-BD30A42FDB45}">
          <cx:tx>
            <cx:txData>
              <cx:f>_xlchart.v1.12</cx:f>
              <cx:v>土曜日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49FF06A-AB40-0649-9396-FB4961363821}">
  <sheetPr/>
  <sheetViews>
    <sheetView zoomScale="13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4130" cy="606471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68CCD34-1AC4-CA43-82E7-77544621B0B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812800</xdr:colOff>
      <xdr:row>1</xdr:row>
      <xdr:rowOff>76200</xdr:rowOff>
    </xdr:from>
    <xdr:to>
      <xdr:col>14</xdr:col>
      <xdr:colOff>393700</xdr:colOff>
      <xdr:row>22</xdr:row>
      <xdr:rowOff>152400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0B6C862-E590-FD46-B4AC-026F2B25D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736600</xdr:colOff>
      <xdr:row>24</xdr:row>
      <xdr:rowOff>76200</xdr:rowOff>
    </xdr:from>
    <xdr:to>
      <xdr:col>14</xdr:col>
      <xdr:colOff>381000</xdr:colOff>
      <xdr:row>56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グラフ 8">
              <a:extLst>
                <a:ext uri="{FF2B5EF4-FFF2-40B4-BE49-F238E27FC236}">
                  <a16:creationId xmlns:a16="http://schemas.microsoft.com/office/drawing/2014/main" id="{21BC1D3E-6B57-2249-AF4F-24C9186014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61600" y="5067300"/>
              <a:ext cx="5359400" cy="6527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869950</xdr:colOff>
      <xdr:row>5</xdr:row>
      <xdr:rowOff>63506</xdr:rowOff>
    </xdr:from>
    <xdr:to>
      <xdr:col>12</xdr:col>
      <xdr:colOff>571500</xdr:colOff>
      <xdr:row>31</xdr:row>
      <xdr:rowOff>50800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7B4BCCE-FF8D-E243-A33C-B18D1161B6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869950</xdr:colOff>
      <xdr:row>5</xdr:row>
      <xdr:rowOff>63506</xdr:rowOff>
    </xdr:from>
    <xdr:to>
      <xdr:col>12</xdr:col>
      <xdr:colOff>571500</xdr:colOff>
      <xdr:row>31</xdr:row>
      <xdr:rowOff>50800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8397000-E443-8B4E-8668-3FC66A147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819150</xdr:colOff>
      <xdr:row>7</xdr:row>
      <xdr:rowOff>114306</xdr:rowOff>
    </xdr:from>
    <xdr:to>
      <xdr:col>17</xdr:col>
      <xdr:colOff>901700</xdr:colOff>
      <xdr:row>34</xdr:row>
      <xdr:rowOff>25400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3277C91-63C4-5443-A72E-CDE572AF8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895350</xdr:colOff>
      <xdr:row>35</xdr:row>
      <xdr:rowOff>50806</xdr:rowOff>
    </xdr:from>
    <xdr:to>
      <xdr:col>15</xdr:col>
      <xdr:colOff>673100</xdr:colOff>
      <xdr:row>54</xdr:row>
      <xdr:rowOff>38100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AAFDE09-4ECD-AD4D-8CAE-43120F2B2F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L3" sqref="L3"/>
    </sheetView>
  </sheetViews>
  <sheetFormatPr baseColWidth="10" defaultColWidth="19.5703125" defaultRowHeight="20" customHeight="1"/>
  <cols>
    <col min="1" max="11" width="19.5703125" style="1" customWidth="1"/>
    <col min="12" max="12" width="15.42578125" style="1" customWidth="1"/>
    <col min="13" max="13" width="19.5703125" style="1" customWidth="1"/>
    <col min="14" max="16384" width="19.5703125" style="1"/>
  </cols>
  <sheetData>
    <row r="1" spans="1:12" ht="26" customHeight="1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ht="33.5" customHeight="1">
      <c r="A2" s="2"/>
      <c r="B2" s="2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</row>
    <row r="3" spans="1:12" ht="18.5" customHeight="1">
      <c r="A3" s="4">
        <v>43466</v>
      </c>
      <c r="B3" s="5">
        <f t="shared" ref="B3:B66" si="0">WEEKDAY($A3)</f>
        <v>3</v>
      </c>
      <c r="C3" s="6">
        <f t="shared" ref="C3:C66" si="1">_xlfn.IFS(B3=1,1.5,B3=2,0.6,B3=3,0.8,B3=4,1,B3=5,0.8,B3=6,0.8,B3=7,1.2)</f>
        <v>0.8</v>
      </c>
      <c r="D3" s="6">
        <v>5.3</v>
      </c>
      <c r="E3" s="6">
        <f t="shared" ref="E3:E66" si="2">(((D3-AVERAGE(D$3:D$367))*10)/STDEVP(D$3:D$367))+50</f>
        <v>35.662270779090974</v>
      </c>
      <c r="F3" s="6">
        <v>10.7</v>
      </c>
      <c r="G3" s="6">
        <f t="shared" ref="G3:G66" si="3">(((F3-AVERAGE(F$3:F$367))*10)/STDEVP(F$3:F$367))+50</f>
        <v>37.151707754253337</v>
      </c>
      <c r="H3" s="6">
        <v>0.9</v>
      </c>
      <c r="I3" s="6">
        <f t="shared" ref="I3:I66" si="4">(((H3-AVERAGE(H$3:H$367))*10)/STDEVP(H$3:H$367))+50</f>
        <v>35.2527939141915</v>
      </c>
      <c r="J3" s="6">
        <v>0</v>
      </c>
      <c r="K3" s="6">
        <f t="shared" ref="K3:K66" si="5">(((J3-AVERAGE(J$3:J$367))*10)/STDEVP(J$3:J$367))+50</f>
        <v>47.055956573373379</v>
      </c>
      <c r="L3" s="6">
        <f ca="1">MAX(INT(RAND()*30*C3+E3*30/50+G3*50/50+I3*10/50+I3*50/50-K3*100/50+100*C3),0)</f>
        <v>106</v>
      </c>
    </row>
    <row r="4" spans="1:12" ht="18.25" customHeight="1">
      <c r="A4" s="7">
        <v>43467</v>
      </c>
      <c r="B4" s="8">
        <f t="shared" si="0"/>
        <v>4</v>
      </c>
      <c r="C4" s="9">
        <f t="shared" si="1"/>
        <v>1</v>
      </c>
      <c r="D4" s="9">
        <v>6.2</v>
      </c>
      <c r="E4" s="9">
        <f t="shared" si="2"/>
        <v>36.814945468665044</v>
      </c>
      <c r="F4" s="9">
        <v>10.9</v>
      </c>
      <c r="G4" s="9">
        <f t="shared" si="3"/>
        <v>37.402577129688517</v>
      </c>
      <c r="H4" s="9">
        <v>2.2000000000000002</v>
      </c>
      <c r="I4" s="9">
        <f t="shared" si="4"/>
        <v>36.860465027483812</v>
      </c>
      <c r="J4" s="9">
        <v>0</v>
      </c>
      <c r="K4" s="9">
        <f t="shared" si="5"/>
        <v>47.055956573373379</v>
      </c>
      <c r="L4" s="6">
        <f t="shared" ref="L4:L67" ca="1" si="6">MAX(INT(RAND()*30*C4+E4*30/50+G4*50/50+I4*10/50+I4*50/50-K4*90/50+100*C4),0)</f>
        <v>141</v>
      </c>
    </row>
    <row r="5" spans="1:12" ht="18.25" customHeight="1">
      <c r="A5" s="7">
        <v>43468</v>
      </c>
      <c r="B5" s="8">
        <f t="shared" si="0"/>
        <v>5</v>
      </c>
      <c r="C5" s="9">
        <f t="shared" si="1"/>
        <v>0.8</v>
      </c>
      <c r="D5" s="9">
        <v>4.9000000000000004</v>
      </c>
      <c r="E5" s="9">
        <f t="shared" si="2"/>
        <v>35.149970917058056</v>
      </c>
      <c r="F5" s="9">
        <v>10.9</v>
      </c>
      <c r="G5" s="9">
        <f t="shared" si="3"/>
        <v>37.402577129688517</v>
      </c>
      <c r="H5" s="9">
        <v>-0.3</v>
      </c>
      <c r="I5" s="9">
        <f t="shared" si="4"/>
        <v>33.768789809613978</v>
      </c>
      <c r="J5" s="9">
        <v>0</v>
      </c>
      <c r="K5" s="9">
        <f t="shared" si="5"/>
        <v>47.055956573373379</v>
      </c>
      <c r="L5" s="6">
        <f t="shared" ca="1" si="6"/>
        <v>111</v>
      </c>
    </row>
    <row r="6" spans="1:12" ht="18.25" customHeight="1">
      <c r="A6" s="7">
        <v>43469</v>
      </c>
      <c r="B6" s="8">
        <f t="shared" si="0"/>
        <v>6</v>
      </c>
      <c r="C6" s="9">
        <f t="shared" si="1"/>
        <v>0.8</v>
      </c>
      <c r="D6" s="9">
        <v>5.0999999999999996</v>
      </c>
      <c r="E6" s="9">
        <f t="shared" si="2"/>
        <v>35.406120848074508</v>
      </c>
      <c r="F6" s="9">
        <v>9.8000000000000007</v>
      </c>
      <c r="G6" s="9">
        <f t="shared" si="3"/>
        <v>36.022795564795032</v>
      </c>
      <c r="H6" s="9">
        <v>0.2</v>
      </c>
      <c r="I6" s="9">
        <f t="shared" si="4"/>
        <v>34.387124853187942</v>
      </c>
      <c r="J6" s="9">
        <v>0</v>
      </c>
      <c r="K6" s="9">
        <f t="shared" si="5"/>
        <v>47.055956573373379</v>
      </c>
      <c r="L6" s="6">
        <f t="shared" ca="1" si="6"/>
        <v>114</v>
      </c>
    </row>
    <row r="7" spans="1:12" ht="18.25" customHeight="1">
      <c r="A7" s="7">
        <v>43470</v>
      </c>
      <c r="B7" s="8">
        <f t="shared" si="0"/>
        <v>7</v>
      </c>
      <c r="C7" s="9">
        <f t="shared" si="1"/>
        <v>1.2</v>
      </c>
      <c r="D7" s="9">
        <v>7.4</v>
      </c>
      <c r="E7" s="9">
        <f t="shared" si="2"/>
        <v>38.351845054763807</v>
      </c>
      <c r="F7" s="9">
        <v>14</v>
      </c>
      <c r="G7" s="9">
        <f t="shared" si="3"/>
        <v>41.291052448933804</v>
      </c>
      <c r="H7" s="9">
        <v>0.9</v>
      </c>
      <c r="I7" s="9">
        <f t="shared" si="4"/>
        <v>35.2527939141915</v>
      </c>
      <c r="J7" s="9">
        <v>0</v>
      </c>
      <c r="K7" s="9">
        <f t="shared" si="5"/>
        <v>47.055956573373379</v>
      </c>
      <c r="L7" s="6">
        <f t="shared" ca="1" si="6"/>
        <v>144</v>
      </c>
    </row>
    <row r="8" spans="1:12" ht="18.25" customHeight="1">
      <c r="A8" s="7">
        <v>43471</v>
      </c>
      <c r="B8" s="8">
        <f t="shared" si="0"/>
        <v>1</v>
      </c>
      <c r="C8" s="9">
        <f t="shared" si="1"/>
        <v>1.5</v>
      </c>
      <c r="D8" s="9">
        <v>5.3</v>
      </c>
      <c r="E8" s="9">
        <f t="shared" si="2"/>
        <v>35.662270779090974</v>
      </c>
      <c r="F8" s="9">
        <v>8</v>
      </c>
      <c r="G8" s="9">
        <f t="shared" si="3"/>
        <v>33.764971185878409</v>
      </c>
      <c r="H8" s="9">
        <v>2.4</v>
      </c>
      <c r="I8" s="9">
        <f t="shared" si="4"/>
        <v>37.107799044913399</v>
      </c>
      <c r="J8" s="9">
        <v>0</v>
      </c>
      <c r="K8" s="9">
        <f t="shared" si="5"/>
        <v>47.055956573373379</v>
      </c>
      <c r="L8" s="6">
        <f t="shared" ca="1" si="6"/>
        <v>204</v>
      </c>
    </row>
    <row r="9" spans="1:12" ht="18.25" customHeight="1">
      <c r="A9" s="7">
        <v>43472</v>
      </c>
      <c r="B9" s="8">
        <f t="shared" si="0"/>
        <v>2</v>
      </c>
      <c r="C9" s="9">
        <f t="shared" si="1"/>
        <v>0.6</v>
      </c>
      <c r="D9" s="9">
        <v>5.4</v>
      </c>
      <c r="E9" s="9">
        <f t="shared" si="2"/>
        <v>35.790345744599207</v>
      </c>
      <c r="F9" s="9">
        <v>10.6</v>
      </c>
      <c r="G9" s="9">
        <f t="shared" si="3"/>
        <v>37.026273066535744</v>
      </c>
      <c r="H9" s="9">
        <v>0.4</v>
      </c>
      <c r="I9" s="9">
        <f t="shared" si="4"/>
        <v>34.634458870617529</v>
      </c>
      <c r="J9" s="9">
        <v>0</v>
      </c>
      <c r="K9" s="9">
        <f t="shared" si="5"/>
        <v>47.055956573373379</v>
      </c>
      <c r="L9" s="6">
        <f t="shared" ca="1" si="6"/>
        <v>84</v>
      </c>
    </row>
    <row r="10" spans="1:12" ht="18.25" customHeight="1">
      <c r="A10" s="7">
        <v>43473</v>
      </c>
      <c r="B10" s="8">
        <f t="shared" si="0"/>
        <v>3</v>
      </c>
      <c r="C10" s="9">
        <f t="shared" si="1"/>
        <v>0.8</v>
      </c>
      <c r="D10" s="9">
        <v>4.5999999999999996</v>
      </c>
      <c r="E10" s="9">
        <f t="shared" si="2"/>
        <v>34.765746020533356</v>
      </c>
      <c r="F10" s="9">
        <v>9.8000000000000007</v>
      </c>
      <c r="G10" s="9">
        <f t="shared" si="3"/>
        <v>36.022795564795032</v>
      </c>
      <c r="H10" s="9">
        <v>0.7</v>
      </c>
      <c r="I10" s="9">
        <f t="shared" si="4"/>
        <v>35.005459896761906</v>
      </c>
      <c r="J10" s="9">
        <v>0</v>
      </c>
      <c r="K10" s="9">
        <f t="shared" si="5"/>
        <v>47.055956573373379</v>
      </c>
      <c r="L10" s="6">
        <f t="shared" ca="1" si="6"/>
        <v>95</v>
      </c>
    </row>
    <row r="11" spans="1:12" ht="18.25" customHeight="1">
      <c r="A11" s="7">
        <v>43474</v>
      </c>
      <c r="B11" s="8">
        <f t="shared" si="0"/>
        <v>4</v>
      </c>
      <c r="C11" s="9">
        <f t="shared" si="1"/>
        <v>1</v>
      </c>
      <c r="D11" s="9">
        <v>4.5</v>
      </c>
      <c r="E11" s="9">
        <f t="shared" si="2"/>
        <v>34.63767105502513</v>
      </c>
      <c r="F11" s="9">
        <v>8</v>
      </c>
      <c r="G11" s="9">
        <f t="shared" si="3"/>
        <v>33.764971185878409</v>
      </c>
      <c r="H11" s="9">
        <v>1</v>
      </c>
      <c r="I11" s="9">
        <f t="shared" si="4"/>
        <v>35.37646092290629</v>
      </c>
      <c r="J11" s="9">
        <v>0</v>
      </c>
      <c r="K11" s="9">
        <f t="shared" si="5"/>
        <v>47.055956573373379</v>
      </c>
      <c r="L11" s="6">
        <f t="shared" ca="1" si="6"/>
        <v>124</v>
      </c>
    </row>
    <row r="12" spans="1:12" ht="18.25" customHeight="1">
      <c r="A12" s="7">
        <v>43475</v>
      </c>
      <c r="B12" s="8">
        <f t="shared" si="0"/>
        <v>5</v>
      </c>
      <c r="C12" s="9">
        <f t="shared" si="1"/>
        <v>0.8</v>
      </c>
      <c r="D12" s="9">
        <v>2</v>
      </c>
      <c r="E12" s="9">
        <f t="shared" si="2"/>
        <v>31.435796917319376</v>
      </c>
      <c r="F12" s="9">
        <v>5.2</v>
      </c>
      <c r="G12" s="9">
        <f t="shared" si="3"/>
        <v>30.252799929785887</v>
      </c>
      <c r="H12" s="9">
        <v>-1.2</v>
      </c>
      <c r="I12" s="9">
        <f t="shared" si="4"/>
        <v>32.655786731180839</v>
      </c>
      <c r="J12" s="9">
        <v>0</v>
      </c>
      <c r="K12" s="9">
        <f t="shared" si="5"/>
        <v>47.055956573373379</v>
      </c>
      <c r="L12" s="6">
        <f t="shared" ca="1" si="6"/>
        <v>91</v>
      </c>
    </row>
    <row r="13" spans="1:12" ht="18.25" customHeight="1">
      <c r="A13" s="7">
        <v>43476</v>
      </c>
      <c r="B13" s="8">
        <f t="shared" si="0"/>
        <v>6</v>
      </c>
      <c r="C13" s="9">
        <f t="shared" si="1"/>
        <v>0.8</v>
      </c>
      <c r="D13" s="9">
        <v>6.4</v>
      </c>
      <c r="E13" s="9">
        <f t="shared" si="2"/>
        <v>37.071095399681511</v>
      </c>
      <c r="F13" s="9">
        <v>12.2</v>
      </c>
      <c r="G13" s="9">
        <f t="shared" si="3"/>
        <v>39.033228070017181</v>
      </c>
      <c r="H13" s="9">
        <v>-0.2</v>
      </c>
      <c r="I13" s="9">
        <f t="shared" si="4"/>
        <v>33.892456818328768</v>
      </c>
      <c r="J13" s="9">
        <v>0</v>
      </c>
      <c r="K13" s="9">
        <f t="shared" si="5"/>
        <v>47.055956573373379</v>
      </c>
      <c r="L13" s="6">
        <f t="shared" ca="1" si="6"/>
        <v>114</v>
      </c>
    </row>
    <row r="14" spans="1:12" ht="18.25" customHeight="1">
      <c r="A14" s="7">
        <v>43477</v>
      </c>
      <c r="B14" s="8">
        <f t="shared" si="0"/>
        <v>7</v>
      </c>
      <c r="C14" s="9">
        <f t="shared" si="1"/>
        <v>1.2</v>
      </c>
      <c r="D14" s="9">
        <v>4.5999999999999996</v>
      </c>
      <c r="E14" s="9">
        <f t="shared" si="2"/>
        <v>34.765746020533356</v>
      </c>
      <c r="F14" s="9">
        <v>6.2</v>
      </c>
      <c r="G14" s="9">
        <f t="shared" si="3"/>
        <v>31.507146806961789</v>
      </c>
      <c r="H14" s="9">
        <v>2.7</v>
      </c>
      <c r="I14" s="9">
        <f t="shared" si="4"/>
        <v>37.478800071057783</v>
      </c>
      <c r="J14" s="9">
        <v>0</v>
      </c>
      <c r="K14" s="9">
        <f t="shared" si="5"/>
        <v>47.055956573373379</v>
      </c>
      <c r="L14" s="6">
        <f t="shared" ca="1" si="6"/>
        <v>157</v>
      </c>
    </row>
    <row r="15" spans="1:12" ht="18.25" customHeight="1">
      <c r="A15" s="7">
        <v>43478</v>
      </c>
      <c r="B15" s="8">
        <f t="shared" si="0"/>
        <v>1</v>
      </c>
      <c r="C15" s="9">
        <f t="shared" si="1"/>
        <v>1.5</v>
      </c>
      <c r="D15" s="9">
        <v>6.2</v>
      </c>
      <c r="E15" s="9">
        <f t="shared" si="2"/>
        <v>36.814945468665044</v>
      </c>
      <c r="F15" s="9">
        <v>10.1</v>
      </c>
      <c r="G15" s="9">
        <f t="shared" si="3"/>
        <v>36.399099627947798</v>
      </c>
      <c r="H15" s="9">
        <v>3.9</v>
      </c>
      <c r="I15" s="9">
        <f t="shared" si="4"/>
        <v>38.962804175635299</v>
      </c>
      <c r="J15" s="9">
        <v>0</v>
      </c>
      <c r="K15" s="9">
        <f t="shared" si="5"/>
        <v>47.055956573373379</v>
      </c>
      <c r="L15" s="6">
        <f t="shared" ca="1" si="6"/>
        <v>215</v>
      </c>
    </row>
    <row r="16" spans="1:12" ht="18.25" customHeight="1">
      <c r="A16" s="7">
        <v>43479</v>
      </c>
      <c r="B16" s="8">
        <f t="shared" si="0"/>
        <v>2</v>
      </c>
      <c r="C16" s="9">
        <f t="shared" si="1"/>
        <v>0.6</v>
      </c>
      <c r="D16" s="9">
        <v>5.6</v>
      </c>
      <c r="E16" s="9">
        <f t="shared" si="2"/>
        <v>36.04649567561566</v>
      </c>
      <c r="F16" s="9">
        <v>9.8000000000000007</v>
      </c>
      <c r="G16" s="9">
        <f t="shared" si="3"/>
        <v>36.022795564795032</v>
      </c>
      <c r="H16" s="9">
        <v>1.3</v>
      </c>
      <c r="I16" s="9">
        <f t="shared" si="4"/>
        <v>35.747461949050674</v>
      </c>
      <c r="J16" s="9">
        <v>0</v>
      </c>
      <c r="K16" s="9">
        <f t="shared" si="5"/>
        <v>47.055956573373379</v>
      </c>
      <c r="L16" s="6">
        <f t="shared" ca="1" si="6"/>
        <v>77</v>
      </c>
    </row>
    <row r="17" spans="1:12" ht="18.25" customHeight="1">
      <c r="A17" s="7">
        <v>43480</v>
      </c>
      <c r="B17" s="8">
        <f t="shared" si="0"/>
        <v>3</v>
      </c>
      <c r="C17" s="9">
        <f t="shared" si="1"/>
        <v>0.8</v>
      </c>
      <c r="D17" s="9">
        <v>5.6</v>
      </c>
      <c r="E17" s="9">
        <f t="shared" si="2"/>
        <v>36.04649567561566</v>
      </c>
      <c r="F17" s="9">
        <v>10.5</v>
      </c>
      <c r="G17" s="9">
        <f t="shared" si="3"/>
        <v>36.900838378818158</v>
      </c>
      <c r="H17" s="9">
        <v>0.4</v>
      </c>
      <c r="I17" s="9">
        <f t="shared" si="4"/>
        <v>34.634458870617529</v>
      </c>
      <c r="J17" s="9">
        <v>0.5</v>
      </c>
      <c r="K17" s="9">
        <f t="shared" si="5"/>
        <v>47.342663043682535</v>
      </c>
      <c r="L17" s="6">
        <f t="shared" ca="1" si="6"/>
        <v>95</v>
      </c>
    </row>
    <row r="18" spans="1:12" ht="18.25" customHeight="1">
      <c r="A18" s="7">
        <v>43481</v>
      </c>
      <c r="B18" s="8">
        <f t="shared" si="0"/>
        <v>4</v>
      </c>
      <c r="C18" s="9">
        <f t="shared" si="1"/>
        <v>1</v>
      </c>
      <c r="D18" s="9">
        <v>6.6</v>
      </c>
      <c r="E18" s="9">
        <f t="shared" si="2"/>
        <v>37.327245330697963</v>
      </c>
      <c r="F18" s="9">
        <v>11.3</v>
      </c>
      <c r="G18" s="9">
        <f t="shared" si="3"/>
        <v>37.904315880558876</v>
      </c>
      <c r="H18" s="9">
        <v>1.8</v>
      </c>
      <c r="I18" s="9">
        <f t="shared" si="4"/>
        <v>36.365796992624638</v>
      </c>
      <c r="J18" s="9">
        <v>0</v>
      </c>
      <c r="K18" s="9">
        <f t="shared" si="5"/>
        <v>47.055956573373379</v>
      </c>
      <c r="L18" s="6">
        <f t="shared" ca="1" si="6"/>
        <v>131</v>
      </c>
    </row>
    <row r="19" spans="1:12" ht="18.25" customHeight="1">
      <c r="A19" s="7">
        <v>43482</v>
      </c>
      <c r="B19" s="8">
        <f t="shared" si="0"/>
        <v>5</v>
      </c>
      <c r="C19" s="9">
        <f t="shared" si="1"/>
        <v>0.8</v>
      </c>
      <c r="D19" s="9">
        <v>6.6</v>
      </c>
      <c r="E19" s="9">
        <f t="shared" si="2"/>
        <v>37.327245330697963</v>
      </c>
      <c r="F19" s="9">
        <v>11.6</v>
      </c>
      <c r="G19" s="9">
        <f t="shared" si="3"/>
        <v>38.280619943711642</v>
      </c>
      <c r="H19" s="9">
        <v>2</v>
      </c>
      <c r="I19" s="9">
        <f t="shared" si="4"/>
        <v>36.613131010054225</v>
      </c>
      <c r="J19" s="9">
        <v>0</v>
      </c>
      <c r="K19" s="9">
        <f t="shared" si="5"/>
        <v>47.055956573373379</v>
      </c>
      <c r="L19" s="6">
        <f t="shared" ca="1" si="6"/>
        <v>118</v>
      </c>
    </row>
    <row r="20" spans="1:12" ht="18.25" customHeight="1">
      <c r="A20" s="7">
        <v>43483</v>
      </c>
      <c r="B20" s="8">
        <f t="shared" si="0"/>
        <v>6</v>
      </c>
      <c r="C20" s="9">
        <f t="shared" si="1"/>
        <v>0.8</v>
      </c>
      <c r="D20" s="9">
        <v>5.9</v>
      </c>
      <c r="E20" s="9">
        <f t="shared" si="2"/>
        <v>36.430720572140359</v>
      </c>
      <c r="F20" s="9">
        <v>10</v>
      </c>
      <c r="G20" s="9">
        <f t="shared" si="3"/>
        <v>36.273664940230205</v>
      </c>
      <c r="H20" s="9">
        <v>2.8</v>
      </c>
      <c r="I20" s="9">
        <f t="shared" si="4"/>
        <v>37.602467079772573</v>
      </c>
      <c r="J20" s="9">
        <v>0</v>
      </c>
      <c r="K20" s="9">
        <f t="shared" si="5"/>
        <v>47.055956573373379</v>
      </c>
      <c r="L20" s="6">
        <f t="shared" ca="1" si="6"/>
        <v>111</v>
      </c>
    </row>
    <row r="21" spans="1:12" ht="18.25" customHeight="1">
      <c r="A21" s="7">
        <v>43484</v>
      </c>
      <c r="B21" s="8">
        <f t="shared" si="0"/>
        <v>7</v>
      </c>
      <c r="C21" s="9">
        <f t="shared" si="1"/>
        <v>1.2</v>
      </c>
      <c r="D21" s="9">
        <v>6.6</v>
      </c>
      <c r="E21" s="9">
        <f t="shared" si="2"/>
        <v>37.327245330697963</v>
      </c>
      <c r="F21" s="9">
        <v>11.7</v>
      </c>
      <c r="G21" s="9">
        <f t="shared" si="3"/>
        <v>38.406054631429235</v>
      </c>
      <c r="H21" s="9">
        <v>1.9</v>
      </c>
      <c r="I21" s="9">
        <f t="shared" si="4"/>
        <v>36.489464001339435</v>
      </c>
      <c r="J21" s="9">
        <v>0</v>
      </c>
      <c r="K21" s="9">
        <f t="shared" si="5"/>
        <v>47.055956573373379</v>
      </c>
      <c r="L21" s="6">
        <f t="shared" ca="1" si="6"/>
        <v>142</v>
      </c>
    </row>
    <row r="22" spans="1:12" ht="18.25" customHeight="1">
      <c r="A22" s="7">
        <v>43485</v>
      </c>
      <c r="B22" s="8">
        <f t="shared" si="0"/>
        <v>1</v>
      </c>
      <c r="C22" s="9">
        <f t="shared" si="1"/>
        <v>1.5</v>
      </c>
      <c r="D22" s="9">
        <v>7.1</v>
      </c>
      <c r="E22" s="9">
        <f t="shared" si="2"/>
        <v>37.967620158239114</v>
      </c>
      <c r="F22" s="9">
        <v>12</v>
      </c>
      <c r="G22" s="9">
        <f t="shared" si="3"/>
        <v>38.782358694582001</v>
      </c>
      <c r="H22" s="9">
        <v>1.8</v>
      </c>
      <c r="I22" s="9">
        <f t="shared" si="4"/>
        <v>36.365796992624638</v>
      </c>
      <c r="J22" s="9">
        <v>0</v>
      </c>
      <c r="K22" s="9">
        <f t="shared" si="5"/>
        <v>47.055956573373379</v>
      </c>
      <c r="L22" s="6">
        <f t="shared" ca="1" si="6"/>
        <v>200</v>
      </c>
    </row>
    <row r="23" spans="1:12" ht="18.25" customHeight="1">
      <c r="A23" s="7">
        <v>43486</v>
      </c>
      <c r="B23" s="8">
        <f t="shared" si="0"/>
        <v>2</v>
      </c>
      <c r="C23" s="9">
        <f t="shared" si="1"/>
        <v>0.6</v>
      </c>
      <c r="D23" s="9">
        <v>5.8</v>
      </c>
      <c r="E23" s="9">
        <f t="shared" si="2"/>
        <v>36.302645606632126</v>
      </c>
      <c r="F23" s="9">
        <v>10.5</v>
      </c>
      <c r="G23" s="9">
        <f t="shared" si="3"/>
        <v>36.900838378818158</v>
      </c>
      <c r="H23" s="9">
        <v>2.5</v>
      </c>
      <c r="I23" s="9">
        <f t="shared" si="4"/>
        <v>37.231466053628196</v>
      </c>
      <c r="J23" s="9">
        <v>0</v>
      </c>
      <c r="K23" s="9">
        <f t="shared" si="5"/>
        <v>47.055956573373379</v>
      </c>
      <c r="L23" s="6">
        <f t="shared" ca="1" si="6"/>
        <v>91</v>
      </c>
    </row>
    <row r="24" spans="1:12" ht="18.25" customHeight="1">
      <c r="A24" s="7">
        <v>43487</v>
      </c>
      <c r="B24" s="8">
        <f t="shared" si="0"/>
        <v>3</v>
      </c>
      <c r="C24" s="9">
        <f t="shared" si="1"/>
        <v>0.8</v>
      </c>
      <c r="D24" s="9">
        <v>5</v>
      </c>
      <c r="E24" s="9">
        <f t="shared" si="2"/>
        <v>35.278045882566282</v>
      </c>
      <c r="F24" s="9">
        <v>10.6</v>
      </c>
      <c r="G24" s="9">
        <f t="shared" si="3"/>
        <v>37.026273066535744</v>
      </c>
      <c r="H24" s="9">
        <v>-0.2</v>
      </c>
      <c r="I24" s="9">
        <f t="shared" si="4"/>
        <v>33.892456818328768</v>
      </c>
      <c r="J24" s="9">
        <v>0</v>
      </c>
      <c r="K24" s="9">
        <f t="shared" si="5"/>
        <v>47.055956573373379</v>
      </c>
      <c r="L24" s="6">
        <f t="shared" ca="1" si="6"/>
        <v>102</v>
      </c>
    </row>
    <row r="25" spans="1:12" ht="18.25" customHeight="1">
      <c r="A25" s="7">
        <v>43488</v>
      </c>
      <c r="B25" s="8">
        <f t="shared" si="0"/>
        <v>4</v>
      </c>
      <c r="C25" s="9">
        <f t="shared" si="1"/>
        <v>1</v>
      </c>
      <c r="D25" s="9">
        <v>6.7</v>
      </c>
      <c r="E25" s="9">
        <f t="shared" si="2"/>
        <v>37.455320296206196</v>
      </c>
      <c r="F25" s="9">
        <v>11.2</v>
      </c>
      <c r="G25" s="9">
        <f t="shared" si="3"/>
        <v>37.778881192841283</v>
      </c>
      <c r="H25" s="9">
        <v>1.7</v>
      </c>
      <c r="I25" s="9">
        <f t="shared" si="4"/>
        <v>36.242129983909848</v>
      </c>
      <c r="J25" s="9">
        <v>0</v>
      </c>
      <c r="K25" s="9">
        <f t="shared" si="5"/>
        <v>47.055956573373379</v>
      </c>
      <c r="L25" s="6">
        <f t="shared" ca="1" si="6"/>
        <v>130</v>
      </c>
    </row>
    <row r="26" spans="1:12" ht="18.25" customHeight="1">
      <c r="A26" s="7">
        <v>43489</v>
      </c>
      <c r="B26" s="8">
        <f t="shared" si="0"/>
        <v>5</v>
      </c>
      <c r="C26" s="9">
        <f t="shared" si="1"/>
        <v>0.8</v>
      </c>
      <c r="D26" s="9">
        <v>6.2</v>
      </c>
      <c r="E26" s="9">
        <f t="shared" si="2"/>
        <v>36.814945468665044</v>
      </c>
      <c r="F26" s="9">
        <v>10.199999999999999</v>
      </c>
      <c r="G26" s="9">
        <f t="shared" si="3"/>
        <v>36.524534315665385</v>
      </c>
      <c r="H26" s="9">
        <v>3.4</v>
      </c>
      <c r="I26" s="9">
        <f t="shared" si="4"/>
        <v>38.344469132061334</v>
      </c>
      <c r="J26" s="9">
        <v>0</v>
      </c>
      <c r="K26" s="9">
        <f t="shared" si="5"/>
        <v>47.055956573373379</v>
      </c>
      <c r="L26" s="6">
        <f t="shared" ca="1" si="6"/>
        <v>103</v>
      </c>
    </row>
    <row r="27" spans="1:12" ht="18.25" customHeight="1">
      <c r="A27" s="7">
        <v>43490</v>
      </c>
      <c r="B27" s="8">
        <f t="shared" si="0"/>
        <v>6</v>
      </c>
      <c r="C27" s="9">
        <f t="shared" si="1"/>
        <v>0.8</v>
      </c>
      <c r="D27" s="9">
        <v>6</v>
      </c>
      <c r="E27" s="9">
        <f t="shared" si="2"/>
        <v>36.558795537648585</v>
      </c>
      <c r="F27" s="9">
        <v>10</v>
      </c>
      <c r="G27" s="9">
        <f t="shared" si="3"/>
        <v>36.273664940230205</v>
      </c>
      <c r="H27" s="9">
        <v>2.8</v>
      </c>
      <c r="I27" s="9">
        <f t="shared" si="4"/>
        <v>37.602467079772573</v>
      </c>
      <c r="J27" s="9">
        <v>0</v>
      </c>
      <c r="K27" s="9">
        <f t="shared" si="5"/>
        <v>47.055956573373379</v>
      </c>
      <c r="L27" s="6">
        <f t="shared" ca="1" si="6"/>
        <v>103</v>
      </c>
    </row>
    <row r="28" spans="1:12" ht="18.25" customHeight="1">
      <c r="A28" s="7">
        <v>43491</v>
      </c>
      <c r="B28" s="8">
        <f t="shared" si="0"/>
        <v>7</v>
      </c>
      <c r="C28" s="9">
        <f t="shared" si="1"/>
        <v>1.2</v>
      </c>
      <c r="D28" s="9">
        <v>4.5</v>
      </c>
      <c r="E28" s="9">
        <f t="shared" si="2"/>
        <v>34.63767105502513</v>
      </c>
      <c r="F28" s="9">
        <v>9.9</v>
      </c>
      <c r="G28" s="9">
        <f t="shared" si="3"/>
        <v>36.148230252512619</v>
      </c>
      <c r="H28" s="9">
        <v>1.5</v>
      </c>
      <c r="I28" s="9">
        <f t="shared" si="4"/>
        <v>35.994795966480261</v>
      </c>
      <c r="J28" s="9">
        <v>0</v>
      </c>
      <c r="K28" s="9">
        <f t="shared" si="5"/>
        <v>47.055956573373379</v>
      </c>
      <c r="L28" s="6">
        <f t="shared" ca="1" si="6"/>
        <v>140</v>
      </c>
    </row>
    <row r="29" spans="1:12" ht="18.25" customHeight="1">
      <c r="A29" s="7">
        <v>43492</v>
      </c>
      <c r="B29" s="8">
        <f t="shared" si="0"/>
        <v>1</v>
      </c>
      <c r="C29" s="9">
        <f t="shared" si="1"/>
        <v>1.5</v>
      </c>
      <c r="D29" s="9">
        <v>4.5999999999999996</v>
      </c>
      <c r="E29" s="9">
        <f t="shared" si="2"/>
        <v>34.765746020533356</v>
      </c>
      <c r="F29" s="9">
        <v>9.6999999999999993</v>
      </c>
      <c r="G29" s="9">
        <f t="shared" si="3"/>
        <v>35.897360877077432</v>
      </c>
      <c r="H29" s="9">
        <v>1.1000000000000001</v>
      </c>
      <c r="I29" s="9">
        <f t="shared" si="4"/>
        <v>35.500127931621087</v>
      </c>
      <c r="J29" s="9">
        <v>0</v>
      </c>
      <c r="K29" s="9">
        <f t="shared" si="5"/>
        <v>47.055956573373379</v>
      </c>
      <c r="L29" s="6">
        <f t="shared" ca="1" si="6"/>
        <v>195</v>
      </c>
    </row>
    <row r="30" spans="1:12" ht="18.25" customHeight="1">
      <c r="A30" s="7">
        <v>43493</v>
      </c>
      <c r="B30" s="8">
        <f t="shared" si="0"/>
        <v>2</v>
      </c>
      <c r="C30" s="9">
        <f t="shared" si="1"/>
        <v>0.6</v>
      </c>
      <c r="D30" s="9">
        <v>6.5</v>
      </c>
      <c r="E30" s="9">
        <f t="shared" si="2"/>
        <v>37.199170365189737</v>
      </c>
      <c r="F30" s="9">
        <v>13.2</v>
      </c>
      <c r="G30" s="9">
        <f t="shared" si="3"/>
        <v>40.287574947193079</v>
      </c>
      <c r="H30" s="9">
        <v>0</v>
      </c>
      <c r="I30" s="9">
        <f t="shared" si="4"/>
        <v>34.139790835758355</v>
      </c>
      <c r="J30" s="9">
        <v>0</v>
      </c>
      <c r="K30" s="9">
        <f t="shared" si="5"/>
        <v>47.055956573373379</v>
      </c>
      <c r="L30" s="6">
        <f t="shared" ca="1" si="6"/>
        <v>96</v>
      </c>
    </row>
    <row r="31" spans="1:12" ht="18.25" customHeight="1">
      <c r="A31" s="7">
        <v>43494</v>
      </c>
      <c r="B31" s="8">
        <f t="shared" si="0"/>
        <v>3</v>
      </c>
      <c r="C31" s="9">
        <f t="shared" si="1"/>
        <v>0.8</v>
      </c>
      <c r="D31" s="9">
        <v>6</v>
      </c>
      <c r="E31" s="9">
        <f t="shared" si="2"/>
        <v>36.558795537648585</v>
      </c>
      <c r="F31" s="9">
        <v>9.9</v>
      </c>
      <c r="G31" s="9">
        <f t="shared" si="3"/>
        <v>36.148230252512619</v>
      </c>
      <c r="H31" s="9">
        <v>3</v>
      </c>
      <c r="I31" s="9">
        <f t="shared" si="4"/>
        <v>37.84980109720216</v>
      </c>
      <c r="J31" s="9">
        <v>0</v>
      </c>
      <c r="K31" s="9">
        <f t="shared" si="5"/>
        <v>47.055956573373379</v>
      </c>
      <c r="L31" s="6">
        <f t="shared" ca="1" si="6"/>
        <v>120</v>
      </c>
    </row>
    <row r="32" spans="1:12" ht="18.25" customHeight="1">
      <c r="A32" s="7">
        <v>43495</v>
      </c>
      <c r="B32" s="8">
        <f t="shared" si="0"/>
        <v>4</v>
      </c>
      <c r="C32" s="9">
        <f t="shared" si="1"/>
        <v>1</v>
      </c>
      <c r="D32" s="9">
        <v>5.2</v>
      </c>
      <c r="E32" s="9">
        <f t="shared" si="2"/>
        <v>35.534195813582741</v>
      </c>
      <c r="F32" s="9">
        <v>10</v>
      </c>
      <c r="G32" s="9">
        <f t="shared" si="3"/>
        <v>36.273664940230205</v>
      </c>
      <c r="H32" s="9">
        <v>0.2</v>
      </c>
      <c r="I32" s="9">
        <f t="shared" si="4"/>
        <v>34.387124853187942</v>
      </c>
      <c r="J32" s="9">
        <v>0</v>
      </c>
      <c r="K32" s="9">
        <f t="shared" si="5"/>
        <v>47.055956573373379</v>
      </c>
      <c r="L32" s="6">
        <f t="shared" ca="1" si="6"/>
        <v>130</v>
      </c>
    </row>
    <row r="33" spans="1:12" ht="18.25" customHeight="1">
      <c r="A33" s="7">
        <v>43496</v>
      </c>
      <c r="B33" s="8">
        <f t="shared" si="0"/>
        <v>5</v>
      </c>
      <c r="C33" s="9">
        <f t="shared" si="1"/>
        <v>0.8</v>
      </c>
      <c r="D33" s="9">
        <v>5.0999999999999996</v>
      </c>
      <c r="E33" s="9">
        <f t="shared" si="2"/>
        <v>35.406120848074508</v>
      </c>
      <c r="F33" s="9">
        <v>11.2</v>
      </c>
      <c r="G33" s="9">
        <f t="shared" si="3"/>
        <v>37.778881192841283</v>
      </c>
      <c r="H33" s="9">
        <v>1.7</v>
      </c>
      <c r="I33" s="9">
        <f t="shared" si="4"/>
        <v>36.242129983909848</v>
      </c>
      <c r="J33" s="9">
        <v>15.5</v>
      </c>
      <c r="K33" s="9">
        <f t="shared" si="5"/>
        <v>55.943857152957207</v>
      </c>
      <c r="L33" s="6">
        <f t="shared" ca="1" si="6"/>
        <v>98</v>
      </c>
    </row>
    <row r="34" spans="1:12" ht="18.25" customHeight="1">
      <c r="A34" s="7">
        <v>43497</v>
      </c>
      <c r="B34" s="8">
        <f t="shared" si="0"/>
        <v>6</v>
      </c>
      <c r="C34" s="9">
        <f t="shared" si="1"/>
        <v>0.8</v>
      </c>
      <c r="D34" s="9">
        <v>4.0999999999999996</v>
      </c>
      <c r="E34" s="9">
        <f t="shared" si="2"/>
        <v>34.125371192992212</v>
      </c>
      <c r="F34" s="9">
        <v>8.3000000000000007</v>
      </c>
      <c r="G34" s="9">
        <f t="shared" si="3"/>
        <v>34.141275249031182</v>
      </c>
      <c r="H34" s="9">
        <v>1.3</v>
      </c>
      <c r="I34" s="9">
        <f t="shared" si="4"/>
        <v>35.747461949050674</v>
      </c>
      <c r="J34" s="9">
        <v>0</v>
      </c>
      <c r="K34" s="9">
        <f t="shared" si="5"/>
        <v>47.055956573373379</v>
      </c>
      <c r="L34" s="6">
        <f t="shared" ca="1" si="6"/>
        <v>112</v>
      </c>
    </row>
    <row r="35" spans="1:12" ht="18.25" customHeight="1">
      <c r="A35" s="7">
        <v>43498</v>
      </c>
      <c r="B35" s="8">
        <f t="shared" si="0"/>
        <v>7</v>
      </c>
      <c r="C35" s="9">
        <f t="shared" si="1"/>
        <v>1.2</v>
      </c>
      <c r="D35" s="9">
        <v>6</v>
      </c>
      <c r="E35" s="9">
        <f t="shared" si="2"/>
        <v>36.558795537648585</v>
      </c>
      <c r="F35" s="9">
        <v>12.6</v>
      </c>
      <c r="G35" s="9">
        <f t="shared" si="3"/>
        <v>39.534966820887547</v>
      </c>
      <c r="H35" s="9">
        <v>-0.9</v>
      </c>
      <c r="I35" s="9">
        <f t="shared" si="4"/>
        <v>33.026787757325216</v>
      </c>
      <c r="J35" s="9">
        <v>0</v>
      </c>
      <c r="K35" s="9">
        <f t="shared" si="5"/>
        <v>47.055956573373379</v>
      </c>
      <c r="L35" s="6">
        <f t="shared" ca="1" si="6"/>
        <v>161</v>
      </c>
    </row>
    <row r="36" spans="1:12" ht="18.25" customHeight="1">
      <c r="A36" s="7">
        <v>43499</v>
      </c>
      <c r="B36" s="8">
        <f t="shared" si="0"/>
        <v>1</v>
      </c>
      <c r="C36" s="9">
        <f t="shared" si="1"/>
        <v>1.5</v>
      </c>
      <c r="D36" s="9">
        <v>8.5</v>
      </c>
      <c r="E36" s="9">
        <f t="shared" si="2"/>
        <v>39.760669675354343</v>
      </c>
      <c r="F36" s="9">
        <v>13.4</v>
      </c>
      <c r="G36" s="9">
        <f t="shared" si="3"/>
        <v>40.538444322628266</v>
      </c>
      <c r="H36" s="9">
        <v>3</v>
      </c>
      <c r="I36" s="9">
        <f t="shared" si="4"/>
        <v>37.84980109720216</v>
      </c>
      <c r="J36" s="9">
        <v>0</v>
      </c>
      <c r="K36" s="9">
        <f t="shared" si="5"/>
        <v>47.055956573373379</v>
      </c>
      <c r="L36" s="6">
        <f t="shared" ca="1" si="6"/>
        <v>191</v>
      </c>
    </row>
    <row r="37" spans="1:12" ht="18.25" customHeight="1">
      <c r="A37" s="7">
        <v>43500</v>
      </c>
      <c r="B37" s="8">
        <f t="shared" si="0"/>
        <v>2</v>
      </c>
      <c r="C37" s="9">
        <f t="shared" si="1"/>
        <v>0.6</v>
      </c>
      <c r="D37" s="9">
        <v>13.2</v>
      </c>
      <c r="E37" s="9">
        <f t="shared" si="2"/>
        <v>45.78019305424116</v>
      </c>
      <c r="F37" s="9">
        <v>19.399999999999999</v>
      </c>
      <c r="G37" s="9">
        <f t="shared" si="3"/>
        <v>48.064525585683654</v>
      </c>
      <c r="H37" s="9">
        <v>6.7</v>
      </c>
      <c r="I37" s="9">
        <f t="shared" si="4"/>
        <v>42.425480419649517</v>
      </c>
      <c r="J37" s="9">
        <v>0</v>
      </c>
      <c r="K37" s="9">
        <f t="shared" si="5"/>
        <v>47.055956573373379</v>
      </c>
      <c r="L37" s="6">
        <f t="shared" ca="1" si="6"/>
        <v>104</v>
      </c>
    </row>
    <row r="38" spans="1:12" ht="18.25" customHeight="1">
      <c r="A38" s="7">
        <v>43501</v>
      </c>
      <c r="B38" s="8">
        <f t="shared" si="0"/>
        <v>3</v>
      </c>
      <c r="C38" s="9">
        <f t="shared" si="1"/>
        <v>0.8</v>
      </c>
      <c r="D38" s="9">
        <v>6.7</v>
      </c>
      <c r="E38" s="9">
        <f t="shared" si="2"/>
        <v>37.455320296206196</v>
      </c>
      <c r="F38" s="9">
        <v>8.8000000000000007</v>
      </c>
      <c r="G38" s="9">
        <f t="shared" si="3"/>
        <v>34.768448687619127</v>
      </c>
      <c r="H38" s="9">
        <v>5.3</v>
      </c>
      <c r="I38" s="9">
        <f t="shared" si="4"/>
        <v>40.694142297642415</v>
      </c>
      <c r="J38" s="9">
        <v>0</v>
      </c>
      <c r="K38" s="9">
        <f t="shared" si="5"/>
        <v>47.055956573373379</v>
      </c>
      <c r="L38" s="6">
        <f t="shared" ca="1" si="6"/>
        <v>109</v>
      </c>
    </row>
    <row r="39" spans="1:12" ht="18.25" customHeight="1">
      <c r="A39" s="7">
        <v>43502</v>
      </c>
      <c r="B39" s="8">
        <f t="shared" si="0"/>
        <v>4</v>
      </c>
      <c r="C39" s="9">
        <f t="shared" si="1"/>
        <v>1</v>
      </c>
      <c r="D39" s="9">
        <v>5.7</v>
      </c>
      <c r="E39" s="9">
        <f t="shared" si="2"/>
        <v>36.174570641123893</v>
      </c>
      <c r="F39" s="9">
        <v>7.7</v>
      </c>
      <c r="G39" s="9">
        <f t="shared" si="3"/>
        <v>33.388667122725636</v>
      </c>
      <c r="H39" s="9">
        <v>3.9</v>
      </c>
      <c r="I39" s="9">
        <f t="shared" si="4"/>
        <v>38.962804175635299</v>
      </c>
      <c r="J39" s="9">
        <v>15</v>
      </c>
      <c r="K39" s="9">
        <f t="shared" si="5"/>
        <v>55.657150682648052</v>
      </c>
      <c r="L39" s="6">
        <f t="shared" ca="1" si="6"/>
        <v>115</v>
      </c>
    </row>
    <row r="40" spans="1:12" ht="18.25" customHeight="1">
      <c r="A40" s="7">
        <v>43503</v>
      </c>
      <c r="B40" s="8">
        <f t="shared" si="0"/>
        <v>5</v>
      </c>
      <c r="C40" s="9">
        <f t="shared" si="1"/>
        <v>0.8</v>
      </c>
      <c r="D40" s="9">
        <v>9.6</v>
      </c>
      <c r="E40" s="9">
        <f t="shared" si="2"/>
        <v>41.169494295944872</v>
      </c>
      <c r="F40" s="9">
        <v>16.5</v>
      </c>
      <c r="G40" s="9">
        <f t="shared" si="3"/>
        <v>44.426919641873553</v>
      </c>
      <c r="H40" s="9">
        <v>3.9</v>
      </c>
      <c r="I40" s="9">
        <f t="shared" si="4"/>
        <v>38.962804175635299</v>
      </c>
      <c r="J40" s="9">
        <v>0</v>
      </c>
      <c r="K40" s="9">
        <f t="shared" si="5"/>
        <v>47.055956573373379</v>
      </c>
      <c r="L40" s="6">
        <f t="shared" ca="1" si="6"/>
        <v>129</v>
      </c>
    </row>
    <row r="41" spans="1:12" ht="18.25" customHeight="1">
      <c r="A41" s="7">
        <v>43504</v>
      </c>
      <c r="B41" s="8">
        <f t="shared" si="0"/>
        <v>6</v>
      </c>
      <c r="C41" s="9">
        <f t="shared" si="1"/>
        <v>0.8</v>
      </c>
      <c r="D41" s="9">
        <v>6.1</v>
      </c>
      <c r="E41" s="9">
        <f t="shared" si="2"/>
        <v>36.686870503156811</v>
      </c>
      <c r="F41" s="9">
        <v>10.6</v>
      </c>
      <c r="G41" s="9">
        <f t="shared" si="3"/>
        <v>37.026273066535744</v>
      </c>
      <c r="H41" s="9">
        <v>3.3</v>
      </c>
      <c r="I41" s="9">
        <f t="shared" si="4"/>
        <v>38.220802123346537</v>
      </c>
      <c r="J41" s="9">
        <v>0</v>
      </c>
      <c r="K41" s="9">
        <f t="shared" si="5"/>
        <v>47.055956573373379</v>
      </c>
      <c r="L41" s="6">
        <f t="shared" ca="1" si="6"/>
        <v>120</v>
      </c>
    </row>
    <row r="42" spans="1:12" ht="18.25" customHeight="1">
      <c r="A42" s="7">
        <v>43505</v>
      </c>
      <c r="B42" s="8">
        <f t="shared" si="0"/>
        <v>7</v>
      </c>
      <c r="C42" s="9">
        <f t="shared" si="1"/>
        <v>1.2</v>
      </c>
      <c r="D42" s="9">
        <v>0.8</v>
      </c>
      <c r="E42" s="9">
        <f t="shared" si="2"/>
        <v>29.898897331220613</v>
      </c>
      <c r="F42" s="9">
        <v>3.5</v>
      </c>
      <c r="G42" s="9">
        <f t="shared" si="3"/>
        <v>28.120410238586864</v>
      </c>
      <c r="H42" s="9">
        <v>-0.5</v>
      </c>
      <c r="I42" s="9">
        <f t="shared" si="4"/>
        <v>33.521455792184391</v>
      </c>
      <c r="J42" s="9">
        <v>2</v>
      </c>
      <c r="K42" s="9">
        <f t="shared" si="5"/>
        <v>48.202782454610002</v>
      </c>
      <c r="L42" s="6">
        <f t="shared" ca="1" si="6"/>
        <v>151</v>
      </c>
    </row>
    <row r="43" spans="1:12" ht="18.25" customHeight="1">
      <c r="A43" s="7">
        <v>43506</v>
      </c>
      <c r="B43" s="8">
        <f t="shared" si="0"/>
        <v>1</v>
      </c>
      <c r="C43" s="9">
        <f t="shared" si="1"/>
        <v>1.5</v>
      </c>
      <c r="D43" s="9">
        <v>3.5</v>
      </c>
      <c r="E43" s="9">
        <f t="shared" si="2"/>
        <v>33.356921399942834</v>
      </c>
      <c r="F43" s="9">
        <v>7.9</v>
      </c>
      <c r="G43" s="9">
        <f t="shared" si="3"/>
        <v>33.639536498160822</v>
      </c>
      <c r="H43" s="9">
        <v>-1.2</v>
      </c>
      <c r="I43" s="9">
        <f t="shared" si="4"/>
        <v>32.655786731180839</v>
      </c>
      <c r="J43" s="9">
        <v>0</v>
      </c>
      <c r="K43" s="9">
        <f t="shared" si="5"/>
        <v>47.055956573373379</v>
      </c>
      <c r="L43" s="6">
        <f t="shared" ca="1" si="6"/>
        <v>185</v>
      </c>
    </row>
    <row r="44" spans="1:12" ht="18.25" customHeight="1">
      <c r="A44" s="7">
        <v>43507</v>
      </c>
      <c r="B44" s="8">
        <f t="shared" si="0"/>
        <v>2</v>
      </c>
      <c r="C44" s="9">
        <f t="shared" si="1"/>
        <v>0.6</v>
      </c>
      <c r="D44" s="9">
        <v>3</v>
      </c>
      <c r="E44" s="9">
        <f t="shared" si="2"/>
        <v>32.716546572401683</v>
      </c>
      <c r="F44" s="9">
        <v>4.5999999999999996</v>
      </c>
      <c r="G44" s="9">
        <f t="shared" si="3"/>
        <v>29.500191803480352</v>
      </c>
      <c r="H44" s="9">
        <v>0.4</v>
      </c>
      <c r="I44" s="9">
        <f t="shared" si="4"/>
        <v>34.634458870617529</v>
      </c>
      <c r="J44" s="9">
        <v>0</v>
      </c>
      <c r="K44" s="9">
        <f t="shared" si="5"/>
        <v>47.055956573373379</v>
      </c>
      <c r="L44" s="6">
        <f t="shared" ca="1" si="6"/>
        <v>80</v>
      </c>
    </row>
    <row r="45" spans="1:12" ht="18.25" customHeight="1">
      <c r="A45" s="7">
        <v>43508</v>
      </c>
      <c r="B45" s="8">
        <f t="shared" si="0"/>
        <v>3</v>
      </c>
      <c r="C45" s="9">
        <f t="shared" si="1"/>
        <v>0.8</v>
      </c>
      <c r="D45" s="9">
        <v>6.2</v>
      </c>
      <c r="E45" s="9">
        <f t="shared" si="2"/>
        <v>36.814945468665044</v>
      </c>
      <c r="F45" s="9">
        <v>11.1</v>
      </c>
      <c r="G45" s="9">
        <f t="shared" si="3"/>
        <v>37.653446505123696</v>
      </c>
      <c r="H45" s="9">
        <v>0.9</v>
      </c>
      <c r="I45" s="9">
        <f t="shared" si="4"/>
        <v>35.2527939141915</v>
      </c>
      <c r="J45" s="9">
        <v>0</v>
      </c>
      <c r="K45" s="9">
        <f t="shared" si="5"/>
        <v>47.055956573373379</v>
      </c>
      <c r="L45" s="6">
        <f t="shared" ca="1" si="6"/>
        <v>106</v>
      </c>
    </row>
    <row r="46" spans="1:12" ht="18.25" customHeight="1">
      <c r="A46" s="7">
        <v>43509</v>
      </c>
      <c r="B46" s="8">
        <f t="shared" si="0"/>
        <v>4</v>
      </c>
      <c r="C46" s="9">
        <f t="shared" si="1"/>
        <v>1</v>
      </c>
      <c r="D46" s="9">
        <v>5.2</v>
      </c>
      <c r="E46" s="9">
        <f t="shared" si="2"/>
        <v>35.534195813582741</v>
      </c>
      <c r="F46" s="9">
        <v>8.6</v>
      </c>
      <c r="G46" s="9">
        <f t="shared" si="3"/>
        <v>34.517579312183948</v>
      </c>
      <c r="H46" s="9">
        <v>3.3</v>
      </c>
      <c r="I46" s="9">
        <f t="shared" si="4"/>
        <v>38.220802123346537</v>
      </c>
      <c r="J46" s="9">
        <v>0</v>
      </c>
      <c r="K46" s="9">
        <f t="shared" si="5"/>
        <v>47.055956573373379</v>
      </c>
      <c r="L46" s="6">
        <f t="shared" ca="1" si="6"/>
        <v>123</v>
      </c>
    </row>
    <row r="47" spans="1:12" ht="18.25" customHeight="1">
      <c r="A47" s="7">
        <v>43510</v>
      </c>
      <c r="B47" s="8">
        <f t="shared" si="0"/>
        <v>5</v>
      </c>
      <c r="C47" s="9">
        <f t="shared" si="1"/>
        <v>0.8</v>
      </c>
      <c r="D47" s="9">
        <v>4.5</v>
      </c>
      <c r="E47" s="9">
        <f t="shared" si="2"/>
        <v>34.63767105502513</v>
      </c>
      <c r="F47" s="9">
        <v>8.5</v>
      </c>
      <c r="G47" s="9">
        <f t="shared" si="3"/>
        <v>34.392144624466354</v>
      </c>
      <c r="H47" s="9">
        <v>1.8</v>
      </c>
      <c r="I47" s="9">
        <f t="shared" si="4"/>
        <v>36.365796992624638</v>
      </c>
      <c r="J47" s="9">
        <v>0</v>
      </c>
      <c r="K47" s="9">
        <f t="shared" si="5"/>
        <v>47.055956573373379</v>
      </c>
      <c r="L47" s="6">
        <f t="shared" ca="1" si="6"/>
        <v>94</v>
      </c>
    </row>
    <row r="48" spans="1:12" ht="18.25" customHeight="1">
      <c r="A48" s="7">
        <v>43511</v>
      </c>
      <c r="B48" s="8">
        <f t="shared" si="0"/>
        <v>6</v>
      </c>
      <c r="C48" s="9">
        <f t="shared" si="1"/>
        <v>0.8</v>
      </c>
      <c r="D48" s="9">
        <v>3</v>
      </c>
      <c r="E48" s="9">
        <f t="shared" si="2"/>
        <v>32.716546572401683</v>
      </c>
      <c r="F48" s="9">
        <v>5.3</v>
      </c>
      <c r="G48" s="9">
        <f t="shared" si="3"/>
        <v>30.37823461750348</v>
      </c>
      <c r="H48" s="9">
        <v>0</v>
      </c>
      <c r="I48" s="9">
        <f t="shared" si="4"/>
        <v>34.139790835758355</v>
      </c>
      <c r="J48" s="9">
        <v>0</v>
      </c>
      <c r="K48" s="9">
        <f t="shared" si="5"/>
        <v>47.055956573373379</v>
      </c>
      <c r="L48" s="6">
        <f t="shared" ca="1" si="6"/>
        <v>104</v>
      </c>
    </row>
    <row r="49" spans="1:12" ht="18.25" customHeight="1">
      <c r="A49" s="7">
        <v>43512</v>
      </c>
      <c r="B49" s="8">
        <f t="shared" si="0"/>
        <v>7</v>
      </c>
      <c r="C49" s="9">
        <f t="shared" si="1"/>
        <v>1.2</v>
      </c>
      <c r="D49" s="9">
        <v>6.8</v>
      </c>
      <c r="E49" s="9">
        <f t="shared" si="2"/>
        <v>37.583395261714429</v>
      </c>
      <c r="F49" s="9">
        <v>13.9</v>
      </c>
      <c r="G49" s="9">
        <f t="shared" si="3"/>
        <v>41.165617761216211</v>
      </c>
      <c r="H49" s="9">
        <v>2</v>
      </c>
      <c r="I49" s="9">
        <f t="shared" si="4"/>
        <v>36.613131010054225</v>
      </c>
      <c r="J49" s="9">
        <v>0</v>
      </c>
      <c r="K49" s="9">
        <f t="shared" si="5"/>
        <v>47.055956573373379</v>
      </c>
      <c r="L49" s="6">
        <f t="shared" ca="1" si="6"/>
        <v>176</v>
      </c>
    </row>
    <row r="50" spans="1:12" ht="18.25" customHeight="1">
      <c r="A50" s="7">
        <v>43513</v>
      </c>
      <c r="B50" s="8">
        <f t="shared" si="0"/>
        <v>1</v>
      </c>
      <c r="C50" s="9">
        <f t="shared" si="1"/>
        <v>1.5</v>
      </c>
      <c r="D50" s="9">
        <v>6.4</v>
      </c>
      <c r="E50" s="9">
        <f t="shared" si="2"/>
        <v>37.071095399681511</v>
      </c>
      <c r="F50" s="9">
        <v>11.8</v>
      </c>
      <c r="G50" s="9">
        <f t="shared" si="3"/>
        <v>38.531489319146829</v>
      </c>
      <c r="H50" s="9">
        <v>3.4</v>
      </c>
      <c r="I50" s="9">
        <f t="shared" si="4"/>
        <v>38.344469132061334</v>
      </c>
      <c r="J50" s="9">
        <v>0</v>
      </c>
      <c r="K50" s="9">
        <f t="shared" si="5"/>
        <v>47.055956573373379</v>
      </c>
      <c r="L50" s="6">
        <f t="shared" ca="1" si="6"/>
        <v>178</v>
      </c>
    </row>
    <row r="51" spans="1:12" ht="18.25" customHeight="1">
      <c r="A51" s="7">
        <v>43514</v>
      </c>
      <c r="B51" s="8">
        <f t="shared" si="0"/>
        <v>2</v>
      </c>
      <c r="C51" s="9">
        <f t="shared" si="1"/>
        <v>0.6</v>
      </c>
      <c r="D51" s="9">
        <v>8.1999999999999993</v>
      </c>
      <c r="E51" s="9">
        <f t="shared" si="2"/>
        <v>39.376444778829651</v>
      </c>
      <c r="F51" s="9">
        <v>14.6</v>
      </c>
      <c r="G51" s="9">
        <f t="shared" si="3"/>
        <v>42.043660575239343</v>
      </c>
      <c r="H51" s="9">
        <v>2</v>
      </c>
      <c r="I51" s="9">
        <f t="shared" si="4"/>
        <v>36.613131010054225</v>
      </c>
      <c r="J51" s="9">
        <v>0</v>
      </c>
      <c r="K51" s="9">
        <f t="shared" si="5"/>
        <v>47.055956573373379</v>
      </c>
      <c r="L51" s="6">
        <f t="shared" ca="1" si="6"/>
        <v>85</v>
      </c>
    </row>
    <row r="52" spans="1:12" ht="18.25" customHeight="1">
      <c r="A52" s="7">
        <v>43515</v>
      </c>
      <c r="B52" s="8">
        <f t="shared" si="0"/>
        <v>3</v>
      </c>
      <c r="C52" s="9">
        <f t="shared" si="1"/>
        <v>0.8</v>
      </c>
      <c r="D52" s="9">
        <v>9.1</v>
      </c>
      <c r="E52" s="9">
        <f t="shared" si="2"/>
        <v>40.529119468403721</v>
      </c>
      <c r="F52" s="9">
        <v>12.8</v>
      </c>
      <c r="G52" s="9">
        <f t="shared" si="3"/>
        <v>39.785836196322727</v>
      </c>
      <c r="H52" s="9">
        <v>6.1</v>
      </c>
      <c r="I52" s="9">
        <f t="shared" si="4"/>
        <v>41.683478367360763</v>
      </c>
      <c r="J52" s="9">
        <v>1.5</v>
      </c>
      <c r="K52" s="9">
        <f t="shared" si="5"/>
        <v>47.916075984300846</v>
      </c>
      <c r="L52" s="6">
        <f t="shared" ca="1" si="6"/>
        <v>130</v>
      </c>
    </row>
    <row r="53" spans="1:12" ht="18.25" customHeight="1">
      <c r="A53" s="7">
        <v>43516</v>
      </c>
      <c r="B53" s="8">
        <f t="shared" si="0"/>
        <v>4</v>
      </c>
      <c r="C53" s="9">
        <f t="shared" si="1"/>
        <v>1</v>
      </c>
      <c r="D53" s="9">
        <v>11.6</v>
      </c>
      <c r="E53" s="9">
        <f t="shared" si="2"/>
        <v>43.730993606109479</v>
      </c>
      <c r="F53" s="9">
        <v>19.5</v>
      </c>
      <c r="G53" s="9">
        <f t="shared" si="3"/>
        <v>48.189960273401248</v>
      </c>
      <c r="H53" s="9">
        <v>5.4</v>
      </c>
      <c r="I53" s="9">
        <f t="shared" si="4"/>
        <v>40.817809306357205</v>
      </c>
      <c r="J53" s="9">
        <v>0.5</v>
      </c>
      <c r="K53" s="9">
        <f t="shared" si="5"/>
        <v>47.342663043682535</v>
      </c>
      <c r="L53" s="6">
        <f t="shared" ca="1" si="6"/>
        <v>146</v>
      </c>
    </row>
    <row r="54" spans="1:12" ht="18.25" customHeight="1">
      <c r="A54" s="7">
        <v>43517</v>
      </c>
      <c r="B54" s="8">
        <f t="shared" si="0"/>
        <v>5</v>
      </c>
      <c r="C54" s="9">
        <f t="shared" si="1"/>
        <v>0.8</v>
      </c>
      <c r="D54" s="9">
        <v>10.3</v>
      </c>
      <c r="E54" s="9">
        <f t="shared" si="2"/>
        <v>42.066019054502483</v>
      </c>
      <c r="F54" s="9">
        <v>14.8</v>
      </c>
      <c r="G54" s="9">
        <f t="shared" si="3"/>
        <v>42.294529950674523</v>
      </c>
      <c r="H54" s="9">
        <v>7.3</v>
      </c>
      <c r="I54" s="9">
        <f t="shared" si="4"/>
        <v>43.167482471938278</v>
      </c>
      <c r="J54" s="9">
        <v>0</v>
      </c>
      <c r="K54" s="9">
        <f t="shared" si="5"/>
        <v>47.055956573373379</v>
      </c>
      <c r="L54" s="6">
        <f t="shared" ca="1" si="6"/>
        <v>116</v>
      </c>
    </row>
    <row r="55" spans="1:12" ht="18.25" customHeight="1">
      <c r="A55" s="7">
        <v>43518</v>
      </c>
      <c r="B55" s="8">
        <f t="shared" si="0"/>
        <v>6</v>
      </c>
      <c r="C55" s="9">
        <f t="shared" si="1"/>
        <v>0.8</v>
      </c>
      <c r="D55" s="9">
        <v>9.3000000000000007</v>
      </c>
      <c r="E55" s="9">
        <f t="shared" si="2"/>
        <v>40.78526939942018</v>
      </c>
      <c r="F55" s="9">
        <v>13.7</v>
      </c>
      <c r="G55" s="9">
        <f t="shared" si="3"/>
        <v>40.914748385781031</v>
      </c>
      <c r="H55" s="9">
        <v>4.0999999999999996</v>
      </c>
      <c r="I55" s="9">
        <f t="shared" si="4"/>
        <v>39.210138193064893</v>
      </c>
      <c r="J55" s="9">
        <v>0</v>
      </c>
      <c r="K55" s="9">
        <f t="shared" si="5"/>
        <v>47.055956573373379</v>
      </c>
      <c r="L55" s="6">
        <f t="shared" ca="1" si="6"/>
        <v>122</v>
      </c>
    </row>
    <row r="56" spans="1:12" ht="18.25" customHeight="1">
      <c r="A56" s="7">
        <v>43519</v>
      </c>
      <c r="B56" s="8">
        <f t="shared" si="0"/>
        <v>7</v>
      </c>
      <c r="C56" s="9">
        <f t="shared" si="1"/>
        <v>1.2</v>
      </c>
      <c r="D56" s="9">
        <v>8.9</v>
      </c>
      <c r="E56" s="9">
        <f t="shared" si="2"/>
        <v>40.272969537387262</v>
      </c>
      <c r="F56" s="9">
        <v>14.7</v>
      </c>
      <c r="G56" s="9">
        <f t="shared" si="3"/>
        <v>42.16909526295693</v>
      </c>
      <c r="H56" s="9">
        <v>5.6</v>
      </c>
      <c r="I56" s="9">
        <f t="shared" si="4"/>
        <v>41.065143323786792</v>
      </c>
      <c r="J56" s="9">
        <v>0</v>
      </c>
      <c r="K56" s="9">
        <f t="shared" si="5"/>
        <v>47.055956573373379</v>
      </c>
      <c r="L56" s="6">
        <f t="shared" ca="1" si="6"/>
        <v>176</v>
      </c>
    </row>
    <row r="57" spans="1:12" ht="18.25" customHeight="1">
      <c r="A57" s="7">
        <v>43520</v>
      </c>
      <c r="B57" s="8">
        <f t="shared" si="0"/>
        <v>1</v>
      </c>
      <c r="C57" s="9">
        <f t="shared" si="1"/>
        <v>1.5</v>
      </c>
      <c r="D57" s="9">
        <v>8.8000000000000007</v>
      </c>
      <c r="E57" s="9">
        <f t="shared" si="2"/>
        <v>40.144894571879036</v>
      </c>
      <c r="F57" s="9">
        <v>13.6</v>
      </c>
      <c r="G57" s="9">
        <f t="shared" si="3"/>
        <v>40.789313698063445</v>
      </c>
      <c r="H57" s="9">
        <v>2.2999999999999998</v>
      </c>
      <c r="I57" s="9">
        <f t="shared" si="4"/>
        <v>36.984132036198602</v>
      </c>
      <c r="J57" s="9">
        <v>0</v>
      </c>
      <c r="K57" s="9">
        <f t="shared" si="5"/>
        <v>47.055956573373379</v>
      </c>
      <c r="L57" s="6">
        <f t="shared" ca="1" si="6"/>
        <v>202</v>
      </c>
    </row>
    <row r="58" spans="1:12" ht="18.25" customHeight="1">
      <c r="A58" s="7">
        <v>43521</v>
      </c>
      <c r="B58" s="8">
        <f t="shared" si="0"/>
        <v>2</v>
      </c>
      <c r="C58" s="9">
        <f t="shared" si="1"/>
        <v>0.6</v>
      </c>
      <c r="D58" s="9">
        <v>11.3</v>
      </c>
      <c r="E58" s="9">
        <f t="shared" si="2"/>
        <v>43.346768709584786</v>
      </c>
      <c r="F58" s="9">
        <v>17.100000000000001</v>
      </c>
      <c r="G58" s="9">
        <f t="shared" si="3"/>
        <v>45.179527768179092</v>
      </c>
      <c r="H58" s="9">
        <v>6.6</v>
      </c>
      <c r="I58" s="9">
        <f t="shared" si="4"/>
        <v>42.301813410934727</v>
      </c>
      <c r="J58" s="9">
        <v>0</v>
      </c>
      <c r="K58" s="9">
        <f t="shared" si="5"/>
        <v>47.055956573373379</v>
      </c>
      <c r="L58" s="6">
        <f t="shared" ca="1" si="6"/>
        <v>101</v>
      </c>
    </row>
    <row r="59" spans="1:12" ht="18.25" customHeight="1">
      <c r="A59" s="7">
        <v>43522</v>
      </c>
      <c r="B59" s="8">
        <f t="shared" si="0"/>
        <v>3</v>
      </c>
      <c r="C59" s="9">
        <f t="shared" si="1"/>
        <v>0.8</v>
      </c>
      <c r="D59" s="9">
        <v>10.199999999999999</v>
      </c>
      <c r="E59" s="9">
        <f t="shared" si="2"/>
        <v>41.937944088994257</v>
      </c>
      <c r="F59" s="9">
        <v>12.5</v>
      </c>
      <c r="G59" s="9">
        <f t="shared" si="3"/>
        <v>39.409532133169954</v>
      </c>
      <c r="H59" s="9">
        <v>7.8</v>
      </c>
      <c r="I59" s="9">
        <f t="shared" si="4"/>
        <v>43.78581751551225</v>
      </c>
      <c r="J59" s="9">
        <v>0</v>
      </c>
      <c r="K59" s="9">
        <f t="shared" si="5"/>
        <v>47.055956573373379</v>
      </c>
      <c r="L59" s="6">
        <f t="shared" ca="1" si="6"/>
        <v>123</v>
      </c>
    </row>
    <row r="60" spans="1:12" ht="18.25" customHeight="1">
      <c r="A60" s="7">
        <v>43523</v>
      </c>
      <c r="B60" s="8">
        <f t="shared" si="0"/>
        <v>4</v>
      </c>
      <c r="C60" s="9">
        <f t="shared" si="1"/>
        <v>1</v>
      </c>
      <c r="D60" s="9">
        <v>7.7</v>
      </c>
      <c r="E60" s="9">
        <f t="shared" si="2"/>
        <v>38.736069951288499</v>
      </c>
      <c r="F60" s="9">
        <v>10.6</v>
      </c>
      <c r="G60" s="9">
        <f t="shared" si="3"/>
        <v>37.026273066535744</v>
      </c>
      <c r="H60" s="9">
        <v>4</v>
      </c>
      <c r="I60" s="9">
        <f t="shared" si="4"/>
        <v>39.086471184350096</v>
      </c>
      <c r="J60" s="9">
        <v>0.5</v>
      </c>
      <c r="K60" s="9">
        <f t="shared" si="5"/>
        <v>47.342663043682535</v>
      </c>
      <c r="L60" s="6">
        <f t="shared" ca="1" si="6"/>
        <v>141</v>
      </c>
    </row>
    <row r="61" spans="1:12" ht="18.25" customHeight="1">
      <c r="A61" s="7">
        <v>43524</v>
      </c>
      <c r="B61" s="8">
        <f t="shared" si="0"/>
        <v>5</v>
      </c>
      <c r="C61" s="9">
        <f t="shared" si="1"/>
        <v>0.8</v>
      </c>
      <c r="D61" s="9">
        <v>6.6</v>
      </c>
      <c r="E61" s="9">
        <f t="shared" si="2"/>
        <v>37.327245330697963</v>
      </c>
      <c r="F61" s="9">
        <v>7.6</v>
      </c>
      <c r="G61" s="9">
        <f t="shared" si="3"/>
        <v>33.263232435008049</v>
      </c>
      <c r="H61" s="9">
        <v>5.0999999999999996</v>
      </c>
      <c r="I61" s="9">
        <f t="shared" si="4"/>
        <v>40.446808280212821</v>
      </c>
      <c r="J61" s="9">
        <v>22.5</v>
      </c>
      <c r="K61" s="9">
        <f t="shared" si="5"/>
        <v>59.957747737285388</v>
      </c>
      <c r="L61" s="6">
        <f t="shared" ca="1" si="6"/>
        <v>81</v>
      </c>
    </row>
    <row r="62" spans="1:12" ht="18.25" customHeight="1">
      <c r="A62" s="7">
        <v>43525</v>
      </c>
      <c r="B62" s="8">
        <f t="shared" si="0"/>
        <v>6</v>
      </c>
      <c r="C62" s="9">
        <f t="shared" si="1"/>
        <v>0.8</v>
      </c>
      <c r="D62" s="9">
        <v>8.8000000000000007</v>
      </c>
      <c r="E62" s="9">
        <f t="shared" si="2"/>
        <v>40.144894571879036</v>
      </c>
      <c r="F62" s="9">
        <v>13.1</v>
      </c>
      <c r="G62" s="9">
        <f t="shared" si="3"/>
        <v>40.162140259475493</v>
      </c>
      <c r="H62" s="9">
        <v>6.5</v>
      </c>
      <c r="I62" s="9">
        <f t="shared" si="4"/>
        <v>42.178146402219937</v>
      </c>
      <c r="J62" s="9">
        <v>1.5</v>
      </c>
      <c r="K62" s="9">
        <f t="shared" si="5"/>
        <v>47.916075984300846</v>
      </c>
      <c r="L62" s="6">
        <f t="shared" ca="1" si="6"/>
        <v>131</v>
      </c>
    </row>
    <row r="63" spans="1:12" ht="18.25" customHeight="1">
      <c r="A63" s="7">
        <v>43526</v>
      </c>
      <c r="B63" s="8">
        <f t="shared" si="0"/>
        <v>7</v>
      </c>
      <c r="C63" s="9">
        <f t="shared" si="1"/>
        <v>1.2</v>
      </c>
      <c r="D63" s="9">
        <v>10.3</v>
      </c>
      <c r="E63" s="9">
        <f t="shared" si="2"/>
        <v>42.066019054502483</v>
      </c>
      <c r="F63" s="9">
        <v>14.7</v>
      </c>
      <c r="G63" s="9">
        <f t="shared" si="3"/>
        <v>42.16909526295693</v>
      </c>
      <c r="H63" s="9">
        <v>6.4</v>
      </c>
      <c r="I63" s="9">
        <f t="shared" si="4"/>
        <v>42.05447939350514</v>
      </c>
      <c r="J63" s="9">
        <v>0</v>
      </c>
      <c r="K63" s="9">
        <f t="shared" si="5"/>
        <v>47.055956573373379</v>
      </c>
      <c r="L63" s="6">
        <f t="shared" ca="1" si="6"/>
        <v>174</v>
      </c>
    </row>
    <row r="64" spans="1:12" ht="18.25" customHeight="1">
      <c r="A64" s="7">
        <v>43527</v>
      </c>
      <c r="B64" s="8">
        <f t="shared" si="0"/>
        <v>1</v>
      </c>
      <c r="C64" s="9">
        <f t="shared" si="1"/>
        <v>1.5</v>
      </c>
      <c r="D64" s="9">
        <v>6.5</v>
      </c>
      <c r="E64" s="9">
        <f t="shared" si="2"/>
        <v>37.199170365189737</v>
      </c>
      <c r="F64" s="9">
        <v>10.4</v>
      </c>
      <c r="G64" s="9">
        <f t="shared" si="3"/>
        <v>36.775403691100564</v>
      </c>
      <c r="H64" s="9">
        <v>4.4000000000000004</v>
      </c>
      <c r="I64" s="9">
        <f t="shared" si="4"/>
        <v>39.58113921920927</v>
      </c>
      <c r="J64" s="9">
        <v>13.5</v>
      </c>
      <c r="K64" s="9">
        <f t="shared" si="5"/>
        <v>54.797031271720584</v>
      </c>
      <c r="L64" s="6">
        <f t="shared" ca="1" si="6"/>
        <v>178</v>
      </c>
    </row>
    <row r="65" spans="1:12" ht="18.25" customHeight="1">
      <c r="A65" s="7">
        <v>43528</v>
      </c>
      <c r="B65" s="8">
        <f t="shared" si="0"/>
        <v>2</v>
      </c>
      <c r="C65" s="9">
        <f t="shared" si="1"/>
        <v>0.6</v>
      </c>
      <c r="D65" s="9">
        <v>7.3</v>
      </c>
      <c r="E65" s="9">
        <f t="shared" si="2"/>
        <v>38.223770089255581</v>
      </c>
      <c r="F65" s="9">
        <v>9.5</v>
      </c>
      <c r="G65" s="9">
        <f t="shared" si="3"/>
        <v>35.646491501642259</v>
      </c>
      <c r="H65" s="9">
        <v>5.4</v>
      </c>
      <c r="I65" s="9">
        <f t="shared" si="4"/>
        <v>40.817809306357205</v>
      </c>
      <c r="J65" s="9">
        <v>27.5</v>
      </c>
      <c r="K65" s="9">
        <f t="shared" si="5"/>
        <v>62.824812440376945</v>
      </c>
      <c r="L65" s="6">
        <f t="shared" ca="1" si="6"/>
        <v>67</v>
      </c>
    </row>
    <row r="66" spans="1:12" ht="18.25" customHeight="1">
      <c r="A66" s="7">
        <v>43529</v>
      </c>
      <c r="B66" s="8">
        <f t="shared" si="0"/>
        <v>3</v>
      </c>
      <c r="C66" s="9">
        <f t="shared" si="1"/>
        <v>0.8</v>
      </c>
      <c r="D66" s="9">
        <v>9.6</v>
      </c>
      <c r="E66" s="9">
        <f t="shared" si="2"/>
        <v>41.169494295944872</v>
      </c>
      <c r="F66" s="9">
        <v>15.8</v>
      </c>
      <c r="G66" s="9">
        <f t="shared" si="3"/>
        <v>43.548876827850421</v>
      </c>
      <c r="H66" s="9">
        <v>4.3</v>
      </c>
      <c r="I66" s="9">
        <f t="shared" si="4"/>
        <v>39.457472210494473</v>
      </c>
      <c r="J66" s="9">
        <v>0.5</v>
      </c>
      <c r="K66" s="9">
        <f t="shared" si="5"/>
        <v>47.342663043682535</v>
      </c>
      <c r="L66" s="6">
        <f t="shared" ca="1" si="6"/>
        <v>127</v>
      </c>
    </row>
    <row r="67" spans="1:12" ht="18.25" customHeight="1">
      <c r="A67" s="7">
        <v>43530</v>
      </c>
      <c r="B67" s="8">
        <f t="shared" ref="B67:B130" si="7">WEEKDAY($A67)</f>
        <v>4</v>
      </c>
      <c r="C67" s="9">
        <f t="shared" ref="C67:C130" si="8">_xlfn.IFS(B67=1,1.5,B67=2,0.6,B67=3,0.8,B67=4,1,B67=5,0.8,B67=6,0.8,B67=7,1.2)</f>
        <v>1</v>
      </c>
      <c r="D67" s="9">
        <v>10.8</v>
      </c>
      <c r="E67" s="9">
        <f t="shared" ref="E67:E130" si="9">(((D67-AVERAGE(D$3:D$367))*10)/STDEVP(D$3:D$367))+50</f>
        <v>42.706393882043635</v>
      </c>
      <c r="F67" s="9">
        <v>14.2</v>
      </c>
      <c r="G67" s="9">
        <f t="shared" ref="G67:G130" si="10">(((F67-AVERAGE(F$3:F$367))*10)/STDEVP(F$3:F$367))+50</f>
        <v>41.541921824368984</v>
      </c>
      <c r="H67" s="9">
        <v>8</v>
      </c>
      <c r="I67" s="9">
        <f t="shared" ref="I67:I130" si="11">(((H67-AVERAGE(H$3:H$367))*10)/STDEVP(H$3:H$367))+50</f>
        <v>44.033151532941837</v>
      </c>
      <c r="J67" s="9">
        <v>3</v>
      </c>
      <c r="K67" s="9">
        <f t="shared" ref="K67:K130" si="12">(((J67-AVERAGE(J$3:J$367))*10)/STDEVP(J$3:J$367))+50</f>
        <v>48.776195395228314</v>
      </c>
      <c r="L67" s="6">
        <f t="shared" ca="1" si="6"/>
        <v>144</v>
      </c>
    </row>
    <row r="68" spans="1:12" ht="18.25" customHeight="1">
      <c r="A68" s="7">
        <v>43531</v>
      </c>
      <c r="B68" s="8">
        <f t="shared" si="7"/>
        <v>5</v>
      </c>
      <c r="C68" s="9">
        <f t="shared" si="8"/>
        <v>0.8</v>
      </c>
      <c r="D68" s="9">
        <v>8.1999999999999993</v>
      </c>
      <c r="E68" s="9">
        <f t="shared" si="9"/>
        <v>39.376444778829651</v>
      </c>
      <c r="F68" s="9">
        <v>10.3</v>
      </c>
      <c r="G68" s="9">
        <f t="shared" si="10"/>
        <v>36.649969003382978</v>
      </c>
      <c r="H68" s="9">
        <v>4.3</v>
      </c>
      <c r="I68" s="9">
        <f t="shared" si="11"/>
        <v>39.457472210494473</v>
      </c>
      <c r="J68" s="9">
        <v>28</v>
      </c>
      <c r="K68" s="9">
        <f t="shared" si="12"/>
        <v>63.111518910686101</v>
      </c>
      <c r="L68" s="6">
        <f t="shared" ref="L68:L131" ca="1" si="13">MAX(INT(RAND()*30*C68+E68*30/50+G68*50/50+I68*10/50+I68*50/50-K68*90/50+100*C68),0)</f>
        <v>80</v>
      </c>
    </row>
    <row r="69" spans="1:12" ht="18.25" customHeight="1">
      <c r="A69" s="7">
        <v>43532</v>
      </c>
      <c r="B69" s="8">
        <f t="shared" si="7"/>
        <v>6</v>
      </c>
      <c r="C69" s="9">
        <f t="shared" si="8"/>
        <v>0.8</v>
      </c>
      <c r="D69" s="9">
        <v>7.3</v>
      </c>
      <c r="E69" s="9">
        <f t="shared" si="9"/>
        <v>38.223770089255581</v>
      </c>
      <c r="F69" s="9">
        <v>12.5</v>
      </c>
      <c r="G69" s="9">
        <f t="shared" si="10"/>
        <v>39.409532133169954</v>
      </c>
      <c r="H69" s="9">
        <v>3.9</v>
      </c>
      <c r="I69" s="9">
        <f t="shared" si="11"/>
        <v>38.962804175635299</v>
      </c>
      <c r="J69" s="9">
        <v>0</v>
      </c>
      <c r="K69" s="9">
        <f t="shared" si="12"/>
        <v>47.055956573373379</v>
      </c>
      <c r="L69" s="6">
        <f t="shared" ca="1" si="13"/>
        <v>122</v>
      </c>
    </row>
    <row r="70" spans="1:12" ht="18.25" customHeight="1">
      <c r="A70" s="7">
        <v>43533</v>
      </c>
      <c r="B70" s="8">
        <f t="shared" si="7"/>
        <v>7</v>
      </c>
      <c r="C70" s="9">
        <f t="shared" si="8"/>
        <v>1.2</v>
      </c>
      <c r="D70" s="9">
        <v>10</v>
      </c>
      <c r="E70" s="9">
        <f t="shared" si="9"/>
        <v>41.681794157977791</v>
      </c>
      <c r="F70" s="9">
        <v>16.899999999999999</v>
      </c>
      <c r="G70" s="9">
        <f t="shared" si="10"/>
        <v>44.928658392743912</v>
      </c>
      <c r="H70" s="9">
        <v>2.2999999999999998</v>
      </c>
      <c r="I70" s="9">
        <f t="shared" si="11"/>
        <v>36.984132036198602</v>
      </c>
      <c r="J70" s="9">
        <v>0</v>
      </c>
      <c r="K70" s="9">
        <f t="shared" si="12"/>
        <v>47.055956573373379</v>
      </c>
      <c r="L70" s="6">
        <f t="shared" ca="1" si="13"/>
        <v>159</v>
      </c>
    </row>
    <row r="71" spans="1:12" ht="18.25" customHeight="1">
      <c r="A71" s="7">
        <v>43534</v>
      </c>
      <c r="B71" s="8">
        <f t="shared" si="7"/>
        <v>1</v>
      </c>
      <c r="C71" s="9">
        <f t="shared" si="8"/>
        <v>1.5</v>
      </c>
      <c r="D71" s="9">
        <v>12.5</v>
      </c>
      <c r="E71" s="9">
        <f t="shared" si="9"/>
        <v>44.883668295683549</v>
      </c>
      <c r="F71" s="9">
        <v>16.399999999999999</v>
      </c>
      <c r="G71" s="9">
        <f t="shared" si="10"/>
        <v>44.30148495415596</v>
      </c>
      <c r="H71" s="9">
        <v>6.9</v>
      </c>
      <c r="I71" s="9">
        <f t="shared" si="11"/>
        <v>42.672814437079111</v>
      </c>
      <c r="J71" s="9">
        <v>6.5</v>
      </c>
      <c r="K71" s="9">
        <f t="shared" si="12"/>
        <v>50.783140687392404</v>
      </c>
      <c r="L71" s="6">
        <f t="shared" ca="1" si="13"/>
        <v>212</v>
      </c>
    </row>
    <row r="72" spans="1:12" ht="18.25" customHeight="1">
      <c r="A72" s="7">
        <v>43535</v>
      </c>
      <c r="B72" s="8">
        <f t="shared" si="7"/>
        <v>2</v>
      </c>
      <c r="C72" s="9">
        <f t="shared" si="8"/>
        <v>0.6</v>
      </c>
      <c r="D72" s="9">
        <v>12.3</v>
      </c>
      <c r="E72" s="9">
        <f t="shared" si="9"/>
        <v>44.62751836466709</v>
      </c>
      <c r="F72" s="9">
        <v>17.8</v>
      </c>
      <c r="G72" s="9">
        <f t="shared" si="10"/>
        <v>46.057570582202224</v>
      </c>
      <c r="H72" s="9">
        <v>9.4</v>
      </c>
      <c r="I72" s="9">
        <f t="shared" si="11"/>
        <v>45.764489654948946</v>
      </c>
      <c r="J72" s="9">
        <v>32</v>
      </c>
      <c r="K72" s="9">
        <f t="shared" si="12"/>
        <v>65.405170673159347</v>
      </c>
      <c r="L72" s="6">
        <f t="shared" ca="1" si="13"/>
        <v>87</v>
      </c>
    </row>
    <row r="73" spans="1:12" ht="18.25" customHeight="1">
      <c r="A73" s="7">
        <v>43536</v>
      </c>
      <c r="B73" s="8">
        <f t="shared" si="7"/>
        <v>3</v>
      </c>
      <c r="C73" s="9">
        <f t="shared" si="8"/>
        <v>0.8</v>
      </c>
      <c r="D73" s="9">
        <v>12.4</v>
      </c>
      <c r="E73" s="9">
        <f t="shared" si="9"/>
        <v>44.755593330175316</v>
      </c>
      <c r="F73" s="9">
        <v>17.100000000000001</v>
      </c>
      <c r="G73" s="9">
        <f t="shared" si="10"/>
        <v>45.179527768179092</v>
      </c>
      <c r="H73" s="9">
        <v>8.3000000000000007</v>
      </c>
      <c r="I73" s="9">
        <f t="shared" si="11"/>
        <v>44.404152559086214</v>
      </c>
      <c r="J73" s="9">
        <v>0</v>
      </c>
      <c r="K73" s="9">
        <f t="shared" si="12"/>
        <v>47.055956573373379</v>
      </c>
      <c r="L73" s="6">
        <f t="shared" ca="1" si="13"/>
        <v>142</v>
      </c>
    </row>
    <row r="74" spans="1:12" ht="18.25" customHeight="1">
      <c r="A74" s="7">
        <v>43537</v>
      </c>
      <c r="B74" s="8">
        <f t="shared" si="7"/>
        <v>4</v>
      </c>
      <c r="C74" s="9">
        <f t="shared" si="8"/>
        <v>1</v>
      </c>
      <c r="D74" s="9">
        <v>11.7</v>
      </c>
      <c r="E74" s="9">
        <f t="shared" si="9"/>
        <v>43.859068571617705</v>
      </c>
      <c r="F74" s="9">
        <v>19.100000000000001</v>
      </c>
      <c r="G74" s="9">
        <f t="shared" si="10"/>
        <v>47.688221522530888</v>
      </c>
      <c r="H74" s="9">
        <v>5.6</v>
      </c>
      <c r="I74" s="9">
        <f t="shared" si="11"/>
        <v>41.065143323786792</v>
      </c>
      <c r="J74" s="9">
        <v>0</v>
      </c>
      <c r="K74" s="9">
        <f t="shared" si="12"/>
        <v>47.055956573373379</v>
      </c>
      <c r="L74" s="6">
        <f t="shared" ca="1" si="13"/>
        <v>140</v>
      </c>
    </row>
    <row r="75" spans="1:12" ht="18.25" customHeight="1">
      <c r="A75" s="7">
        <v>43538</v>
      </c>
      <c r="B75" s="8">
        <f t="shared" si="7"/>
        <v>5</v>
      </c>
      <c r="C75" s="9">
        <f t="shared" si="8"/>
        <v>0.8</v>
      </c>
      <c r="D75" s="9">
        <v>8.4</v>
      </c>
      <c r="E75" s="9">
        <f t="shared" si="9"/>
        <v>39.63259470984611</v>
      </c>
      <c r="F75" s="9">
        <v>14.3</v>
      </c>
      <c r="G75" s="9">
        <f t="shared" si="10"/>
        <v>41.667356512086577</v>
      </c>
      <c r="H75" s="9">
        <v>3.3</v>
      </c>
      <c r="I75" s="9">
        <f t="shared" si="11"/>
        <v>38.220802123346537</v>
      </c>
      <c r="J75" s="9">
        <v>0</v>
      </c>
      <c r="K75" s="9">
        <f t="shared" si="12"/>
        <v>47.055956573373379</v>
      </c>
      <c r="L75" s="6">
        <f t="shared" ca="1" si="13"/>
        <v>126</v>
      </c>
    </row>
    <row r="76" spans="1:12" ht="18.25" customHeight="1">
      <c r="A76" s="7">
        <v>43539</v>
      </c>
      <c r="B76" s="8">
        <f t="shared" si="7"/>
        <v>6</v>
      </c>
      <c r="C76" s="9">
        <f t="shared" si="8"/>
        <v>0.8</v>
      </c>
      <c r="D76" s="9">
        <v>9.6999999999999993</v>
      </c>
      <c r="E76" s="9">
        <f t="shared" si="9"/>
        <v>41.297569261453106</v>
      </c>
      <c r="F76" s="9">
        <v>15</v>
      </c>
      <c r="G76" s="9">
        <f t="shared" si="10"/>
        <v>42.545399326109703</v>
      </c>
      <c r="H76" s="9">
        <v>4.0999999999999996</v>
      </c>
      <c r="I76" s="9">
        <f t="shared" si="11"/>
        <v>39.210138193064893</v>
      </c>
      <c r="J76" s="9">
        <v>0</v>
      </c>
      <c r="K76" s="9">
        <f t="shared" si="12"/>
        <v>47.055956573373379</v>
      </c>
      <c r="L76" s="6">
        <f t="shared" ca="1" si="13"/>
        <v>122</v>
      </c>
    </row>
    <row r="77" spans="1:12" ht="18.25" customHeight="1">
      <c r="A77" s="7">
        <v>43540</v>
      </c>
      <c r="B77" s="8">
        <f t="shared" si="7"/>
        <v>7</v>
      </c>
      <c r="C77" s="9">
        <f t="shared" si="8"/>
        <v>1.2</v>
      </c>
      <c r="D77" s="9">
        <v>8.9</v>
      </c>
      <c r="E77" s="9">
        <f t="shared" si="9"/>
        <v>40.272969537387262</v>
      </c>
      <c r="F77" s="9">
        <v>13.9</v>
      </c>
      <c r="G77" s="9">
        <f t="shared" si="10"/>
        <v>41.165617761216211</v>
      </c>
      <c r="H77" s="9">
        <v>6.4</v>
      </c>
      <c r="I77" s="9">
        <f t="shared" si="11"/>
        <v>42.05447939350514</v>
      </c>
      <c r="J77" s="9">
        <v>0</v>
      </c>
      <c r="K77" s="9">
        <f t="shared" si="12"/>
        <v>47.055956573373379</v>
      </c>
      <c r="L77" s="6">
        <f t="shared" ca="1" si="13"/>
        <v>179</v>
      </c>
    </row>
    <row r="78" spans="1:12" ht="18.25" customHeight="1">
      <c r="A78" s="7">
        <v>43541</v>
      </c>
      <c r="B78" s="8">
        <f t="shared" si="7"/>
        <v>1</v>
      </c>
      <c r="C78" s="9">
        <f t="shared" si="8"/>
        <v>1.5</v>
      </c>
      <c r="D78" s="9">
        <v>9.1</v>
      </c>
      <c r="E78" s="9">
        <f t="shared" si="9"/>
        <v>40.529119468403721</v>
      </c>
      <c r="F78" s="9">
        <v>15.3</v>
      </c>
      <c r="G78" s="9">
        <f t="shared" si="10"/>
        <v>42.921703389262476</v>
      </c>
      <c r="H78" s="9">
        <v>3.5</v>
      </c>
      <c r="I78" s="9">
        <f t="shared" si="11"/>
        <v>38.468136140776124</v>
      </c>
      <c r="J78" s="9">
        <v>0</v>
      </c>
      <c r="K78" s="9">
        <f t="shared" si="12"/>
        <v>47.055956573373379</v>
      </c>
      <c r="L78" s="6">
        <f t="shared" ca="1" si="13"/>
        <v>198</v>
      </c>
    </row>
    <row r="79" spans="1:12" ht="18.25" customHeight="1">
      <c r="A79" s="7">
        <v>43542</v>
      </c>
      <c r="B79" s="8">
        <f t="shared" si="7"/>
        <v>2</v>
      </c>
      <c r="C79" s="9">
        <f t="shared" si="8"/>
        <v>0.6</v>
      </c>
      <c r="D79" s="9">
        <v>9.6999999999999993</v>
      </c>
      <c r="E79" s="9">
        <f t="shared" si="9"/>
        <v>41.297569261453106</v>
      </c>
      <c r="F79" s="9">
        <v>14.5</v>
      </c>
      <c r="G79" s="9">
        <f t="shared" si="10"/>
        <v>41.918225887521757</v>
      </c>
      <c r="H79" s="9">
        <v>4.0999999999999996</v>
      </c>
      <c r="I79" s="9">
        <f t="shared" si="11"/>
        <v>39.210138193064893</v>
      </c>
      <c r="J79" s="9">
        <v>0</v>
      </c>
      <c r="K79" s="9">
        <f t="shared" si="12"/>
        <v>47.055956573373379</v>
      </c>
      <c r="L79" s="6">
        <f t="shared" ca="1" si="13"/>
        <v>105</v>
      </c>
    </row>
    <row r="80" spans="1:12" ht="18.25" customHeight="1">
      <c r="A80" s="7">
        <v>43543</v>
      </c>
      <c r="B80" s="8">
        <f t="shared" si="7"/>
        <v>3</v>
      </c>
      <c r="C80" s="9">
        <f t="shared" si="8"/>
        <v>0.8</v>
      </c>
      <c r="D80" s="9">
        <v>13.2</v>
      </c>
      <c r="E80" s="9">
        <f t="shared" si="9"/>
        <v>45.78019305424116</v>
      </c>
      <c r="F80" s="9">
        <v>19.2</v>
      </c>
      <c r="G80" s="9">
        <f t="shared" si="10"/>
        <v>47.813656210248482</v>
      </c>
      <c r="H80" s="9">
        <v>6.3</v>
      </c>
      <c r="I80" s="9">
        <f t="shared" si="11"/>
        <v>41.930812384790343</v>
      </c>
      <c r="J80" s="9">
        <v>0</v>
      </c>
      <c r="K80" s="9">
        <f t="shared" si="12"/>
        <v>47.055956573373379</v>
      </c>
      <c r="L80" s="6">
        <f t="shared" ca="1" si="13"/>
        <v>142</v>
      </c>
    </row>
    <row r="81" spans="1:12" ht="18.25" customHeight="1">
      <c r="A81" s="7">
        <v>43544</v>
      </c>
      <c r="B81" s="8">
        <f t="shared" si="7"/>
        <v>4</v>
      </c>
      <c r="C81" s="9">
        <f t="shared" si="8"/>
        <v>1</v>
      </c>
      <c r="D81" s="9">
        <v>15</v>
      </c>
      <c r="E81" s="9">
        <f t="shared" si="9"/>
        <v>48.085542433389307</v>
      </c>
      <c r="F81" s="9">
        <v>21.5</v>
      </c>
      <c r="G81" s="9">
        <f t="shared" si="10"/>
        <v>50.698654027753051</v>
      </c>
      <c r="H81" s="9">
        <v>8.5</v>
      </c>
      <c r="I81" s="9">
        <f t="shared" si="11"/>
        <v>44.651486576515801</v>
      </c>
      <c r="J81" s="9">
        <v>0</v>
      </c>
      <c r="K81" s="9">
        <f t="shared" si="12"/>
        <v>47.055956573373379</v>
      </c>
      <c r="L81" s="6">
        <f t="shared" ca="1" si="13"/>
        <v>155</v>
      </c>
    </row>
    <row r="82" spans="1:12" ht="18.25" customHeight="1">
      <c r="A82" s="7">
        <v>43545</v>
      </c>
      <c r="B82" s="8">
        <f t="shared" si="7"/>
        <v>5</v>
      </c>
      <c r="C82" s="9">
        <f t="shared" si="8"/>
        <v>0.8</v>
      </c>
      <c r="D82" s="9">
        <v>17.7</v>
      </c>
      <c r="E82" s="9">
        <f t="shared" si="9"/>
        <v>51.543566502111517</v>
      </c>
      <c r="F82" s="9">
        <v>22.3</v>
      </c>
      <c r="G82" s="9">
        <f t="shared" si="10"/>
        <v>51.702131529493769</v>
      </c>
      <c r="H82" s="9">
        <v>13.9</v>
      </c>
      <c r="I82" s="9">
        <f t="shared" si="11"/>
        <v>51.329505047114651</v>
      </c>
      <c r="J82" s="9">
        <v>0</v>
      </c>
      <c r="K82" s="9">
        <f t="shared" si="12"/>
        <v>47.055956573373379</v>
      </c>
      <c r="L82" s="6">
        <f t="shared" ca="1" si="13"/>
        <v>158</v>
      </c>
    </row>
    <row r="83" spans="1:12" ht="18.25" customHeight="1">
      <c r="A83" s="7">
        <v>43546</v>
      </c>
      <c r="B83" s="8">
        <f t="shared" si="7"/>
        <v>6</v>
      </c>
      <c r="C83" s="9">
        <f t="shared" si="8"/>
        <v>0.8</v>
      </c>
      <c r="D83" s="9">
        <v>16.2</v>
      </c>
      <c r="E83" s="9">
        <f t="shared" si="9"/>
        <v>49.622442019488069</v>
      </c>
      <c r="F83" s="9">
        <v>23.9</v>
      </c>
      <c r="G83" s="9">
        <f t="shared" si="10"/>
        <v>53.709086532975206</v>
      </c>
      <c r="H83" s="9">
        <v>8.6999999999999993</v>
      </c>
      <c r="I83" s="9">
        <f t="shared" si="11"/>
        <v>44.898820593945388</v>
      </c>
      <c r="J83" s="9">
        <v>0</v>
      </c>
      <c r="K83" s="9">
        <f t="shared" si="12"/>
        <v>47.055956573373379</v>
      </c>
      <c r="L83" s="6">
        <f t="shared" ca="1" si="13"/>
        <v>151</v>
      </c>
    </row>
    <row r="84" spans="1:12" ht="18.25" customHeight="1">
      <c r="A84" s="7">
        <v>43547</v>
      </c>
      <c r="B84" s="8">
        <f t="shared" si="7"/>
        <v>7</v>
      </c>
      <c r="C84" s="9">
        <f t="shared" si="8"/>
        <v>1.2</v>
      </c>
      <c r="D84" s="9">
        <v>7.1</v>
      </c>
      <c r="E84" s="9">
        <f t="shared" si="9"/>
        <v>37.967620158239114</v>
      </c>
      <c r="F84" s="9">
        <v>9</v>
      </c>
      <c r="G84" s="9">
        <f t="shared" si="10"/>
        <v>35.019318063054307</v>
      </c>
      <c r="H84" s="9">
        <v>4.4000000000000004</v>
      </c>
      <c r="I84" s="9">
        <f t="shared" si="11"/>
        <v>39.58113921920927</v>
      </c>
      <c r="J84" s="9">
        <v>0</v>
      </c>
      <c r="K84" s="9">
        <f t="shared" si="12"/>
        <v>47.055956573373379</v>
      </c>
      <c r="L84" s="6">
        <f t="shared" ca="1" si="13"/>
        <v>171</v>
      </c>
    </row>
    <row r="85" spans="1:12" ht="18.25" customHeight="1">
      <c r="A85" s="7">
        <v>43548</v>
      </c>
      <c r="B85" s="8">
        <f t="shared" si="7"/>
        <v>1</v>
      </c>
      <c r="C85" s="9">
        <f t="shared" si="8"/>
        <v>1.5</v>
      </c>
      <c r="D85" s="9">
        <v>8.1999999999999993</v>
      </c>
      <c r="E85" s="9">
        <f t="shared" si="9"/>
        <v>39.376444778829651</v>
      </c>
      <c r="F85" s="9">
        <v>15.4</v>
      </c>
      <c r="G85" s="9">
        <f t="shared" si="10"/>
        <v>43.047138076980062</v>
      </c>
      <c r="H85" s="9">
        <v>1.1000000000000001</v>
      </c>
      <c r="I85" s="9">
        <f t="shared" si="11"/>
        <v>35.500127931621087</v>
      </c>
      <c r="J85" s="9">
        <v>0</v>
      </c>
      <c r="K85" s="9">
        <f t="shared" si="12"/>
        <v>47.055956573373379</v>
      </c>
      <c r="L85" s="6">
        <f t="shared" ca="1" si="13"/>
        <v>195</v>
      </c>
    </row>
    <row r="86" spans="1:12" ht="18.25" customHeight="1">
      <c r="A86" s="7">
        <v>43549</v>
      </c>
      <c r="B86" s="8">
        <f t="shared" si="7"/>
        <v>2</v>
      </c>
      <c r="C86" s="9">
        <f t="shared" si="8"/>
        <v>0.6</v>
      </c>
      <c r="D86" s="9">
        <v>9.9</v>
      </c>
      <c r="E86" s="9">
        <f t="shared" si="9"/>
        <v>41.553719192469565</v>
      </c>
      <c r="F86" s="9">
        <v>15</v>
      </c>
      <c r="G86" s="9">
        <f t="shared" si="10"/>
        <v>42.545399326109703</v>
      </c>
      <c r="H86" s="9">
        <v>3.9</v>
      </c>
      <c r="I86" s="9">
        <f t="shared" si="11"/>
        <v>38.962804175635299</v>
      </c>
      <c r="J86" s="9">
        <v>0</v>
      </c>
      <c r="K86" s="9">
        <f t="shared" si="12"/>
        <v>47.055956573373379</v>
      </c>
      <c r="L86" s="6">
        <f t="shared" ca="1" si="13"/>
        <v>89</v>
      </c>
    </row>
    <row r="87" spans="1:12" ht="18.25" customHeight="1">
      <c r="A87" s="7">
        <v>43550</v>
      </c>
      <c r="B87" s="8">
        <f t="shared" si="7"/>
        <v>3</v>
      </c>
      <c r="C87" s="9">
        <f t="shared" si="8"/>
        <v>0.8</v>
      </c>
      <c r="D87" s="9">
        <v>11.9</v>
      </c>
      <c r="E87" s="9">
        <f t="shared" si="9"/>
        <v>44.115218502634171</v>
      </c>
      <c r="F87" s="9">
        <v>15.9</v>
      </c>
      <c r="G87" s="9">
        <f t="shared" si="10"/>
        <v>43.674311515568014</v>
      </c>
      <c r="H87" s="9">
        <v>9.6999999999999993</v>
      </c>
      <c r="I87" s="9">
        <f t="shared" si="11"/>
        <v>46.135490681093323</v>
      </c>
      <c r="J87" s="9">
        <v>0</v>
      </c>
      <c r="K87" s="9">
        <f t="shared" si="12"/>
        <v>47.055956573373379</v>
      </c>
      <c r="L87" s="6">
        <f t="shared" ca="1" si="13"/>
        <v>125</v>
      </c>
    </row>
    <row r="88" spans="1:12" ht="18.25" customHeight="1">
      <c r="A88" s="7">
        <v>43551</v>
      </c>
      <c r="B88" s="8">
        <f t="shared" si="7"/>
        <v>4</v>
      </c>
      <c r="C88" s="9">
        <f t="shared" si="8"/>
        <v>1</v>
      </c>
      <c r="D88" s="9">
        <v>14.2</v>
      </c>
      <c r="E88" s="9">
        <f t="shared" si="9"/>
        <v>47.060942709323463</v>
      </c>
      <c r="F88" s="9">
        <v>19.7</v>
      </c>
      <c r="G88" s="9">
        <f t="shared" si="10"/>
        <v>48.440829648836427</v>
      </c>
      <c r="H88" s="9">
        <v>7.3</v>
      </c>
      <c r="I88" s="9">
        <f t="shared" si="11"/>
        <v>43.167482471938278</v>
      </c>
      <c r="J88" s="9">
        <v>0</v>
      </c>
      <c r="K88" s="9">
        <f t="shared" si="12"/>
        <v>47.055956573373379</v>
      </c>
      <c r="L88" s="6">
        <f t="shared" ca="1" si="13"/>
        <v>152</v>
      </c>
    </row>
    <row r="89" spans="1:12" ht="18.25" customHeight="1">
      <c r="A89" s="7">
        <v>43552</v>
      </c>
      <c r="B89" s="8">
        <f t="shared" si="7"/>
        <v>5</v>
      </c>
      <c r="C89" s="9">
        <f t="shared" si="8"/>
        <v>0.8</v>
      </c>
      <c r="D89" s="9">
        <v>13.6</v>
      </c>
      <c r="E89" s="9">
        <f t="shared" si="9"/>
        <v>46.292492916274078</v>
      </c>
      <c r="F89" s="9">
        <v>16.899999999999999</v>
      </c>
      <c r="G89" s="9">
        <f t="shared" si="10"/>
        <v>44.928658392743912</v>
      </c>
      <c r="H89" s="9">
        <v>9</v>
      </c>
      <c r="I89" s="9">
        <f t="shared" si="11"/>
        <v>45.269821620089772</v>
      </c>
      <c r="J89" s="9">
        <v>0</v>
      </c>
      <c r="K89" s="9">
        <f t="shared" si="12"/>
        <v>47.055956573373379</v>
      </c>
      <c r="L89" s="6">
        <f t="shared" ca="1" si="13"/>
        <v>124</v>
      </c>
    </row>
    <row r="90" spans="1:12" ht="18.25" customHeight="1">
      <c r="A90" s="7">
        <v>43553</v>
      </c>
      <c r="B90" s="8">
        <f t="shared" si="7"/>
        <v>6</v>
      </c>
      <c r="C90" s="9">
        <f t="shared" si="8"/>
        <v>0.8</v>
      </c>
      <c r="D90" s="9">
        <v>7.7</v>
      </c>
      <c r="E90" s="9">
        <f t="shared" si="9"/>
        <v>38.736069951288499</v>
      </c>
      <c r="F90" s="9">
        <v>9.3000000000000007</v>
      </c>
      <c r="G90" s="9">
        <f t="shared" si="10"/>
        <v>35.39562212620708</v>
      </c>
      <c r="H90" s="9">
        <v>6.8</v>
      </c>
      <c r="I90" s="9">
        <f t="shared" si="11"/>
        <v>42.549147428364314</v>
      </c>
      <c r="J90" s="9">
        <v>0</v>
      </c>
      <c r="K90" s="9">
        <f t="shared" si="12"/>
        <v>47.055956573373379</v>
      </c>
      <c r="L90" s="6">
        <f t="shared" ca="1" si="13"/>
        <v>127</v>
      </c>
    </row>
    <row r="91" spans="1:12" ht="18.25" customHeight="1">
      <c r="A91" s="7">
        <v>43554</v>
      </c>
      <c r="B91" s="8">
        <f t="shared" si="7"/>
        <v>7</v>
      </c>
      <c r="C91" s="9">
        <f t="shared" si="8"/>
        <v>1.2</v>
      </c>
      <c r="D91" s="9">
        <v>8.6999999999999993</v>
      </c>
      <c r="E91" s="9">
        <f t="shared" si="9"/>
        <v>40.016819606370802</v>
      </c>
      <c r="F91" s="9">
        <v>11.7</v>
      </c>
      <c r="G91" s="9">
        <f t="shared" si="10"/>
        <v>38.406054631429235</v>
      </c>
      <c r="H91" s="9">
        <v>7.2</v>
      </c>
      <c r="I91" s="9">
        <f t="shared" si="11"/>
        <v>43.043815463223488</v>
      </c>
      <c r="J91" s="9">
        <v>3.5</v>
      </c>
      <c r="K91" s="9">
        <f t="shared" si="12"/>
        <v>49.062901865537469</v>
      </c>
      <c r="L91" s="6">
        <f t="shared" ca="1" si="13"/>
        <v>158</v>
      </c>
    </row>
    <row r="92" spans="1:12" ht="18.25" customHeight="1">
      <c r="A92" s="7">
        <v>43555</v>
      </c>
      <c r="B92" s="8">
        <f t="shared" si="7"/>
        <v>1</v>
      </c>
      <c r="C92" s="9">
        <f t="shared" si="8"/>
        <v>1.5</v>
      </c>
      <c r="D92" s="9">
        <v>10.5</v>
      </c>
      <c r="E92" s="9">
        <f t="shared" si="9"/>
        <v>42.322168985518942</v>
      </c>
      <c r="F92" s="9">
        <v>16.3</v>
      </c>
      <c r="G92" s="9">
        <f t="shared" si="10"/>
        <v>44.176050266438374</v>
      </c>
      <c r="H92" s="9">
        <v>7.3</v>
      </c>
      <c r="I92" s="9">
        <f t="shared" si="11"/>
        <v>43.167482471938278</v>
      </c>
      <c r="J92" s="9">
        <v>1.5</v>
      </c>
      <c r="K92" s="9">
        <f t="shared" si="12"/>
        <v>47.916075984300846</v>
      </c>
      <c r="L92" s="6">
        <f t="shared" ca="1" si="13"/>
        <v>196</v>
      </c>
    </row>
    <row r="93" spans="1:12" ht="18.25" customHeight="1">
      <c r="A93" s="7">
        <v>43556</v>
      </c>
      <c r="B93" s="8">
        <f t="shared" si="7"/>
        <v>2</v>
      </c>
      <c r="C93" s="9">
        <f t="shared" si="8"/>
        <v>0.6</v>
      </c>
      <c r="D93" s="9">
        <v>8.8000000000000007</v>
      </c>
      <c r="E93" s="9">
        <f t="shared" si="9"/>
        <v>40.144894571879036</v>
      </c>
      <c r="F93" s="9">
        <v>16.2</v>
      </c>
      <c r="G93" s="9">
        <f t="shared" si="10"/>
        <v>44.05061557872078</v>
      </c>
      <c r="H93" s="9">
        <v>4.2</v>
      </c>
      <c r="I93" s="9">
        <f t="shared" si="11"/>
        <v>39.333805201779683</v>
      </c>
      <c r="J93" s="9">
        <v>5.5</v>
      </c>
      <c r="K93" s="9">
        <f t="shared" si="12"/>
        <v>50.209727746774092</v>
      </c>
      <c r="L93" s="6">
        <f t="shared" ca="1" si="13"/>
        <v>92</v>
      </c>
    </row>
    <row r="94" spans="1:12" ht="18.25" customHeight="1">
      <c r="A94" s="7">
        <v>43557</v>
      </c>
      <c r="B94" s="8">
        <f t="shared" si="7"/>
        <v>3</v>
      </c>
      <c r="C94" s="9">
        <f t="shared" si="8"/>
        <v>0.8</v>
      </c>
      <c r="D94" s="9">
        <v>7.2</v>
      </c>
      <c r="E94" s="9">
        <f t="shared" si="9"/>
        <v>38.095695123747348</v>
      </c>
      <c r="F94" s="9">
        <v>13.1</v>
      </c>
      <c r="G94" s="9">
        <f t="shared" si="10"/>
        <v>40.162140259475493</v>
      </c>
      <c r="H94" s="9">
        <v>2.2999999999999998</v>
      </c>
      <c r="I94" s="9">
        <f t="shared" si="11"/>
        <v>36.984132036198602</v>
      </c>
      <c r="J94" s="9">
        <v>0</v>
      </c>
      <c r="K94" s="9">
        <f t="shared" si="12"/>
        <v>47.055956573373379</v>
      </c>
      <c r="L94" s="6">
        <f t="shared" ca="1" si="13"/>
        <v>118</v>
      </c>
    </row>
    <row r="95" spans="1:12" ht="18.25" customHeight="1">
      <c r="A95" s="7">
        <v>43558</v>
      </c>
      <c r="B95" s="8">
        <f t="shared" si="7"/>
        <v>4</v>
      </c>
      <c r="C95" s="9">
        <f t="shared" si="8"/>
        <v>1</v>
      </c>
      <c r="D95" s="9">
        <v>8.1</v>
      </c>
      <c r="E95" s="9">
        <f t="shared" si="9"/>
        <v>39.248369813321418</v>
      </c>
      <c r="F95" s="9">
        <v>14.1</v>
      </c>
      <c r="G95" s="9">
        <f t="shared" si="10"/>
        <v>41.416487136651391</v>
      </c>
      <c r="H95" s="9">
        <v>2.7</v>
      </c>
      <c r="I95" s="9">
        <f t="shared" si="11"/>
        <v>37.478800071057783</v>
      </c>
      <c r="J95" s="9">
        <v>0</v>
      </c>
      <c r="K95" s="9">
        <f t="shared" si="12"/>
        <v>47.055956573373379</v>
      </c>
      <c r="L95" s="6">
        <f t="shared" ca="1" si="13"/>
        <v>153</v>
      </c>
    </row>
    <row r="96" spans="1:12" ht="18.25" customHeight="1">
      <c r="A96" s="7">
        <v>43559</v>
      </c>
      <c r="B96" s="8">
        <f t="shared" si="7"/>
        <v>5</v>
      </c>
      <c r="C96" s="9">
        <f t="shared" si="8"/>
        <v>0.8</v>
      </c>
      <c r="D96" s="9">
        <v>10.6</v>
      </c>
      <c r="E96" s="9">
        <f t="shared" si="9"/>
        <v>42.450243951027176</v>
      </c>
      <c r="F96" s="9">
        <v>16.7</v>
      </c>
      <c r="G96" s="9">
        <f t="shared" si="10"/>
        <v>44.677789017308733</v>
      </c>
      <c r="H96" s="9">
        <v>3.4</v>
      </c>
      <c r="I96" s="9">
        <f t="shared" si="11"/>
        <v>38.344469132061334</v>
      </c>
      <c r="J96" s="9">
        <v>0</v>
      </c>
      <c r="K96" s="9">
        <f t="shared" si="12"/>
        <v>47.055956573373379</v>
      </c>
      <c r="L96" s="6">
        <f t="shared" ca="1" si="13"/>
        <v>125</v>
      </c>
    </row>
    <row r="97" spans="1:12" ht="18.25" customHeight="1">
      <c r="A97" s="7">
        <v>43560</v>
      </c>
      <c r="B97" s="8">
        <f t="shared" si="7"/>
        <v>6</v>
      </c>
      <c r="C97" s="9">
        <f t="shared" si="8"/>
        <v>0.8</v>
      </c>
      <c r="D97" s="9">
        <v>15.4</v>
      </c>
      <c r="E97" s="9">
        <f t="shared" si="9"/>
        <v>48.597842295422225</v>
      </c>
      <c r="F97" s="9">
        <v>22.5</v>
      </c>
      <c r="G97" s="9">
        <f t="shared" si="10"/>
        <v>51.953000904928949</v>
      </c>
      <c r="H97" s="9">
        <v>6.7</v>
      </c>
      <c r="I97" s="9">
        <f t="shared" si="11"/>
        <v>42.425480419649517</v>
      </c>
      <c r="J97" s="9">
        <v>0</v>
      </c>
      <c r="K97" s="9">
        <f t="shared" si="12"/>
        <v>47.055956573373379</v>
      </c>
      <c r="L97" s="6">
        <f t="shared" ca="1" si="13"/>
        <v>133</v>
      </c>
    </row>
    <row r="98" spans="1:12" ht="18.25" customHeight="1">
      <c r="A98" s="7">
        <v>43561</v>
      </c>
      <c r="B98" s="8">
        <f t="shared" si="7"/>
        <v>7</v>
      </c>
      <c r="C98" s="9">
        <f t="shared" si="8"/>
        <v>1.2</v>
      </c>
      <c r="D98" s="9">
        <v>15.9</v>
      </c>
      <c r="E98" s="9">
        <f t="shared" si="9"/>
        <v>49.238217122963377</v>
      </c>
      <c r="F98" s="9">
        <v>21.6</v>
      </c>
      <c r="G98" s="9">
        <f t="shared" si="10"/>
        <v>50.824088715470637</v>
      </c>
      <c r="H98" s="9">
        <v>11</v>
      </c>
      <c r="I98" s="9">
        <f t="shared" si="11"/>
        <v>47.743161794385642</v>
      </c>
      <c r="J98" s="9">
        <v>0</v>
      </c>
      <c r="K98" s="9">
        <f t="shared" si="12"/>
        <v>47.055956573373379</v>
      </c>
      <c r="L98" s="6">
        <f t="shared" ca="1" si="13"/>
        <v>179</v>
      </c>
    </row>
    <row r="99" spans="1:12" ht="18.25" customHeight="1">
      <c r="A99" s="7">
        <v>43562</v>
      </c>
      <c r="B99" s="8">
        <f t="shared" si="7"/>
        <v>1</v>
      </c>
      <c r="C99" s="9">
        <f t="shared" si="8"/>
        <v>1.5</v>
      </c>
      <c r="D99" s="9">
        <v>15.5</v>
      </c>
      <c r="E99" s="9">
        <f t="shared" si="9"/>
        <v>48.725917260930458</v>
      </c>
      <c r="F99" s="9">
        <v>21.6</v>
      </c>
      <c r="G99" s="9">
        <f t="shared" si="10"/>
        <v>50.824088715470637</v>
      </c>
      <c r="H99" s="9">
        <v>10.4</v>
      </c>
      <c r="I99" s="9">
        <f t="shared" si="11"/>
        <v>47.001159742096881</v>
      </c>
      <c r="J99" s="9">
        <v>0</v>
      </c>
      <c r="K99" s="9">
        <f t="shared" si="12"/>
        <v>47.055956573373379</v>
      </c>
      <c r="L99" s="6">
        <f t="shared" ca="1" si="13"/>
        <v>228</v>
      </c>
    </row>
    <row r="100" spans="1:12" ht="18.25" customHeight="1">
      <c r="A100" s="7">
        <v>43563</v>
      </c>
      <c r="B100" s="8">
        <f t="shared" si="7"/>
        <v>2</v>
      </c>
      <c r="C100" s="9">
        <f t="shared" si="8"/>
        <v>0.6</v>
      </c>
      <c r="D100" s="9">
        <v>9.3000000000000007</v>
      </c>
      <c r="E100" s="9">
        <f t="shared" si="9"/>
        <v>40.78526939942018</v>
      </c>
      <c r="F100" s="9">
        <v>14.8</v>
      </c>
      <c r="G100" s="9">
        <f t="shared" si="10"/>
        <v>42.294529950674523</v>
      </c>
      <c r="H100" s="9">
        <v>5.9</v>
      </c>
      <c r="I100" s="9">
        <f t="shared" si="11"/>
        <v>41.436144349931169</v>
      </c>
      <c r="J100" s="9">
        <v>11</v>
      </c>
      <c r="K100" s="9">
        <f t="shared" si="12"/>
        <v>53.363498920174806</v>
      </c>
      <c r="L100" s="6">
        <f t="shared" ca="1" si="13"/>
        <v>93</v>
      </c>
    </row>
    <row r="101" spans="1:12" ht="18.25" customHeight="1">
      <c r="A101" s="7">
        <v>43564</v>
      </c>
      <c r="B101" s="8">
        <f t="shared" si="7"/>
        <v>3</v>
      </c>
      <c r="C101" s="9">
        <f t="shared" si="8"/>
        <v>0.8</v>
      </c>
      <c r="D101" s="9">
        <v>10.3</v>
      </c>
      <c r="E101" s="9">
        <f t="shared" si="9"/>
        <v>42.066019054502483</v>
      </c>
      <c r="F101" s="9">
        <v>16.899999999999999</v>
      </c>
      <c r="G101" s="9">
        <f t="shared" si="10"/>
        <v>44.928658392743912</v>
      </c>
      <c r="H101" s="9">
        <v>4.3</v>
      </c>
      <c r="I101" s="9">
        <f t="shared" si="11"/>
        <v>39.457472210494473</v>
      </c>
      <c r="J101" s="9">
        <v>0</v>
      </c>
      <c r="K101" s="9">
        <f t="shared" si="12"/>
        <v>47.055956573373379</v>
      </c>
      <c r="L101" s="6">
        <f t="shared" ca="1" si="13"/>
        <v>113</v>
      </c>
    </row>
    <row r="102" spans="1:12" ht="18.25" customHeight="1">
      <c r="A102" s="7">
        <v>43565</v>
      </c>
      <c r="B102" s="8">
        <f t="shared" si="7"/>
        <v>4</v>
      </c>
      <c r="C102" s="9">
        <f t="shared" si="8"/>
        <v>1</v>
      </c>
      <c r="D102" s="9">
        <v>5.7</v>
      </c>
      <c r="E102" s="9">
        <f t="shared" si="9"/>
        <v>36.174570641123893</v>
      </c>
      <c r="F102" s="9">
        <v>10.199999999999999</v>
      </c>
      <c r="G102" s="9">
        <f t="shared" si="10"/>
        <v>36.524534315665385</v>
      </c>
      <c r="H102" s="9">
        <v>3.6</v>
      </c>
      <c r="I102" s="9">
        <f t="shared" si="11"/>
        <v>38.591803149490921</v>
      </c>
      <c r="J102" s="9">
        <v>29.5</v>
      </c>
      <c r="K102" s="9">
        <f t="shared" si="12"/>
        <v>63.971638321613568</v>
      </c>
      <c r="L102" s="6">
        <f t="shared" ca="1" si="13"/>
        <v>95</v>
      </c>
    </row>
    <row r="103" spans="1:12" ht="18.25" customHeight="1">
      <c r="A103" s="7">
        <v>43566</v>
      </c>
      <c r="B103" s="8">
        <f t="shared" si="7"/>
        <v>5</v>
      </c>
      <c r="C103" s="9">
        <f t="shared" si="8"/>
        <v>0.8</v>
      </c>
      <c r="D103" s="9">
        <v>10.4</v>
      </c>
      <c r="E103" s="9">
        <f t="shared" si="9"/>
        <v>42.194094020010716</v>
      </c>
      <c r="F103" s="9">
        <v>16.7</v>
      </c>
      <c r="G103" s="9">
        <f t="shared" si="10"/>
        <v>44.677789017308733</v>
      </c>
      <c r="H103" s="9">
        <v>4.4000000000000004</v>
      </c>
      <c r="I103" s="9">
        <f t="shared" si="11"/>
        <v>39.58113921920927</v>
      </c>
      <c r="J103" s="9">
        <v>1.5</v>
      </c>
      <c r="K103" s="9">
        <f t="shared" si="12"/>
        <v>47.916075984300846</v>
      </c>
      <c r="L103" s="6">
        <f t="shared" ca="1" si="13"/>
        <v>121</v>
      </c>
    </row>
    <row r="104" spans="1:12" ht="18.25" customHeight="1">
      <c r="A104" s="7">
        <v>43567</v>
      </c>
      <c r="B104" s="8">
        <f t="shared" si="7"/>
        <v>6</v>
      </c>
      <c r="C104" s="9">
        <f t="shared" si="8"/>
        <v>0.8</v>
      </c>
      <c r="D104" s="9">
        <v>9.6</v>
      </c>
      <c r="E104" s="9">
        <f t="shared" si="9"/>
        <v>41.169494295944872</v>
      </c>
      <c r="F104" s="9">
        <v>12.6</v>
      </c>
      <c r="G104" s="9">
        <f t="shared" si="10"/>
        <v>39.534966820887547</v>
      </c>
      <c r="H104" s="9">
        <v>7.5</v>
      </c>
      <c r="I104" s="9">
        <f t="shared" si="11"/>
        <v>43.414816489367865</v>
      </c>
      <c r="J104" s="9">
        <v>0</v>
      </c>
      <c r="K104" s="9">
        <f t="shared" si="12"/>
        <v>47.055956573373379</v>
      </c>
      <c r="L104" s="6">
        <f t="shared" ca="1" si="13"/>
        <v>135</v>
      </c>
    </row>
    <row r="105" spans="1:12" ht="18.25" customHeight="1">
      <c r="A105" s="7">
        <v>43568</v>
      </c>
      <c r="B105" s="8">
        <f t="shared" si="7"/>
        <v>7</v>
      </c>
      <c r="C105" s="9">
        <f t="shared" si="8"/>
        <v>1.2</v>
      </c>
      <c r="D105" s="9">
        <v>12.1</v>
      </c>
      <c r="E105" s="9">
        <f t="shared" si="9"/>
        <v>44.37136843365063</v>
      </c>
      <c r="F105" s="9">
        <v>18.2</v>
      </c>
      <c r="G105" s="9">
        <f t="shared" si="10"/>
        <v>46.559309333072576</v>
      </c>
      <c r="H105" s="9">
        <v>5.5</v>
      </c>
      <c r="I105" s="9">
        <f t="shared" si="11"/>
        <v>40.941476315071995</v>
      </c>
      <c r="J105" s="9">
        <v>0</v>
      </c>
      <c r="K105" s="9">
        <f t="shared" si="12"/>
        <v>47.055956573373379</v>
      </c>
      <c r="L105" s="6">
        <f t="shared" ca="1" si="13"/>
        <v>174</v>
      </c>
    </row>
    <row r="106" spans="1:12" ht="18.25" customHeight="1">
      <c r="A106" s="7">
        <v>43569</v>
      </c>
      <c r="B106" s="8">
        <f t="shared" si="7"/>
        <v>1</v>
      </c>
      <c r="C106" s="9">
        <f t="shared" si="8"/>
        <v>1.5</v>
      </c>
      <c r="D106" s="9">
        <v>14.7</v>
      </c>
      <c r="E106" s="9">
        <f t="shared" si="9"/>
        <v>47.701317536864615</v>
      </c>
      <c r="F106" s="9">
        <v>18.3</v>
      </c>
      <c r="G106" s="9">
        <f t="shared" si="10"/>
        <v>46.68474402079017</v>
      </c>
      <c r="H106" s="9">
        <v>9.6999999999999993</v>
      </c>
      <c r="I106" s="9">
        <f t="shared" si="11"/>
        <v>46.135490681093323</v>
      </c>
      <c r="J106" s="9">
        <v>0</v>
      </c>
      <c r="K106" s="9">
        <f t="shared" si="12"/>
        <v>47.055956573373379</v>
      </c>
      <c r="L106" s="6">
        <f t="shared" ca="1" si="13"/>
        <v>238</v>
      </c>
    </row>
    <row r="107" spans="1:12" ht="18.25" customHeight="1">
      <c r="A107" s="7">
        <v>43570</v>
      </c>
      <c r="B107" s="8">
        <f t="shared" si="7"/>
        <v>2</v>
      </c>
      <c r="C107" s="9">
        <f t="shared" si="8"/>
        <v>0.6</v>
      </c>
      <c r="D107" s="9">
        <v>16</v>
      </c>
      <c r="E107" s="9">
        <f t="shared" si="9"/>
        <v>49.366292088471603</v>
      </c>
      <c r="F107" s="9">
        <v>22.7</v>
      </c>
      <c r="G107" s="9">
        <f t="shared" si="10"/>
        <v>52.203870280364129</v>
      </c>
      <c r="H107" s="9">
        <v>11.6</v>
      </c>
      <c r="I107" s="9">
        <f t="shared" si="11"/>
        <v>48.485163846674403</v>
      </c>
      <c r="J107" s="9">
        <v>5</v>
      </c>
      <c r="K107" s="9">
        <f t="shared" si="12"/>
        <v>49.923021276464937</v>
      </c>
      <c r="L107" s="6">
        <f t="shared" ca="1" si="13"/>
        <v>111</v>
      </c>
    </row>
    <row r="108" spans="1:12" ht="18.25" customHeight="1">
      <c r="A108" s="7">
        <v>43571</v>
      </c>
      <c r="B108" s="8">
        <f t="shared" si="7"/>
        <v>3</v>
      </c>
      <c r="C108" s="9">
        <f t="shared" si="8"/>
        <v>0.8</v>
      </c>
      <c r="D108" s="9">
        <v>15.3</v>
      </c>
      <c r="E108" s="9">
        <f t="shared" si="9"/>
        <v>48.469767329913992</v>
      </c>
      <c r="F108" s="9">
        <v>21</v>
      </c>
      <c r="G108" s="9">
        <f t="shared" si="10"/>
        <v>50.071480589165098</v>
      </c>
      <c r="H108" s="9">
        <v>10.1</v>
      </c>
      <c r="I108" s="9">
        <f t="shared" si="11"/>
        <v>46.630158715952497</v>
      </c>
      <c r="J108" s="9">
        <v>0</v>
      </c>
      <c r="K108" s="9">
        <f t="shared" si="12"/>
        <v>47.055956573373379</v>
      </c>
      <c r="L108" s="6">
        <f t="shared" ca="1" si="13"/>
        <v>143</v>
      </c>
    </row>
    <row r="109" spans="1:12" ht="18.25" customHeight="1">
      <c r="A109" s="7">
        <v>43572</v>
      </c>
      <c r="B109" s="8">
        <f t="shared" si="7"/>
        <v>4</v>
      </c>
      <c r="C109" s="9">
        <f t="shared" si="8"/>
        <v>1</v>
      </c>
      <c r="D109" s="9">
        <v>15.5</v>
      </c>
      <c r="E109" s="9">
        <f t="shared" si="9"/>
        <v>48.725917260930458</v>
      </c>
      <c r="F109" s="9">
        <v>19.5</v>
      </c>
      <c r="G109" s="9">
        <f t="shared" si="10"/>
        <v>48.189960273401248</v>
      </c>
      <c r="H109" s="9">
        <v>11</v>
      </c>
      <c r="I109" s="9">
        <f t="shared" si="11"/>
        <v>47.743161794385642</v>
      </c>
      <c r="J109" s="9">
        <v>0</v>
      </c>
      <c r="K109" s="9">
        <f t="shared" si="12"/>
        <v>47.055956573373379</v>
      </c>
      <c r="L109" s="6">
        <f t="shared" ca="1" si="13"/>
        <v>179</v>
      </c>
    </row>
    <row r="110" spans="1:12" ht="18.25" customHeight="1">
      <c r="A110" s="7">
        <v>43573</v>
      </c>
      <c r="B110" s="8">
        <f t="shared" si="7"/>
        <v>5</v>
      </c>
      <c r="C110" s="9">
        <f t="shared" si="8"/>
        <v>0.8</v>
      </c>
      <c r="D110" s="9">
        <v>17.5</v>
      </c>
      <c r="E110" s="9">
        <f t="shared" si="9"/>
        <v>51.287416571095058</v>
      </c>
      <c r="F110" s="9">
        <v>23.5</v>
      </c>
      <c r="G110" s="9">
        <f t="shared" si="10"/>
        <v>53.207347782104847</v>
      </c>
      <c r="H110" s="9">
        <v>13.4</v>
      </c>
      <c r="I110" s="9">
        <f t="shared" si="11"/>
        <v>50.711170003540687</v>
      </c>
      <c r="J110" s="9">
        <v>0</v>
      </c>
      <c r="K110" s="9">
        <f t="shared" si="12"/>
        <v>47.055956573373379</v>
      </c>
      <c r="L110" s="6">
        <f t="shared" ca="1" si="13"/>
        <v>144</v>
      </c>
    </row>
    <row r="111" spans="1:12" ht="18.25" customHeight="1">
      <c r="A111" s="7">
        <v>43574</v>
      </c>
      <c r="B111" s="8">
        <f t="shared" si="7"/>
        <v>6</v>
      </c>
      <c r="C111" s="9">
        <f t="shared" si="8"/>
        <v>0.8</v>
      </c>
      <c r="D111" s="9">
        <v>18.3</v>
      </c>
      <c r="E111" s="9">
        <f t="shared" si="9"/>
        <v>52.312016295160902</v>
      </c>
      <c r="F111" s="9">
        <v>23.6</v>
      </c>
      <c r="G111" s="9">
        <f t="shared" si="10"/>
        <v>53.33278246982244</v>
      </c>
      <c r="H111" s="9">
        <v>14.3</v>
      </c>
      <c r="I111" s="9">
        <f t="shared" si="11"/>
        <v>51.824173081973825</v>
      </c>
      <c r="J111" s="9">
        <v>0</v>
      </c>
      <c r="K111" s="9">
        <f t="shared" si="12"/>
        <v>47.055956573373379</v>
      </c>
      <c r="L111" s="6">
        <f t="shared" ca="1" si="13"/>
        <v>162</v>
      </c>
    </row>
    <row r="112" spans="1:12" ht="18.25" customHeight="1">
      <c r="A112" s="7">
        <v>43575</v>
      </c>
      <c r="B112" s="8">
        <f t="shared" si="7"/>
        <v>7</v>
      </c>
      <c r="C112" s="9">
        <f t="shared" si="8"/>
        <v>1.2</v>
      </c>
      <c r="D112" s="9">
        <v>14.2</v>
      </c>
      <c r="E112" s="9">
        <f t="shared" si="9"/>
        <v>47.060942709323463</v>
      </c>
      <c r="F112" s="9">
        <v>19.100000000000001</v>
      </c>
      <c r="G112" s="9">
        <f t="shared" si="10"/>
        <v>47.688221522530888</v>
      </c>
      <c r="H112" s="9">
        <v>9.8000000000000007</v>
      </c>
      <c r="I112" s="9">
        <f t="shared" si="11"/>
        <v>46.25915768980812</v>
      </c>
      <c r="J112" s="9">
        <v>0</v>
      </c>
      <c r="K112" s="9">
        <f t="shared" si="12"/>
        <v>47.055956573373379</v>
      </c>
      <c r="L112" s="6">
        <f t="shared" ca="1" si="13"/>
        <v>179</v>
      </c>
    </row>
    <row r="113" spans="1:12" ht="18.25" customHeight="1">
      <c r="A113" s="7">
        <v>43576</v>
      </c>
      <c r="B113" s="8">
        <f t="shared" si="7"/>
        <v>1</v>
      </c>
      <c r="C113" s="9">
        <f t="shared" si="8"/>
        <v>1.5</v>
      </c>
      <c r="D113" s="9">
        <v>17.5</v>
      </c>
      <c r="E113" s="9">
        <f t="shared" si="9"/>
        <v>51.287416571095058</v>
      </c>
      <c r="F113" s="9">
        <v>23.1</v>
      </c>
      <c r="G113" s="9">
        <f t="shared" si="10"/>
        <v>52.705609031234488</v>
      </c>
      <c r="H113" s="9">
        <v>12.2</v>
      </c>
      <c r="I113" s="9">
        <f t="shared" si="11"/>
        <v>49.227165898963165</v>
      </c>
      <c r="J113" s="9">
        <v>0</v>
      </c>
      <c r="K113" s="9">
        <f t="shared" si="12"/>
        <v>47.055956573373379</v>
      </c>
      <c r="L113" s="6">
        <f t="shared" ca="1" si="13"/>
        <v>249</v>
      </c>
    </row>
    <row r="114" spans="1:12" ht="18.25" customHeight="1">
      <c r="A114" s="7">
        <v>43577</v>
      </c>
      <c r="B114" s="8">
        <f t="shared" si="7"/>
        <v>2</v>
      </c>
      <c r="C114" s="9">
        <f t="shared" si="8"/>
        <v>0.6</v>
      </c>
      <c r="D114" s="9">
        <v>19.2</v>
      </c>
      <c r="E114" s="9">
        <f t="shared" si="9"/>
        <v>53.464690984734972</v>
      </c>
      <c r="F114" s="9">
        <v>25.6</v>
      </c>
      <c r="G114" s="9">
        <f t="shared" si="10"/>
        <v>55.841476224174237</v>
      </c>
      <c r="H114" s="9">
        <v>14.4</v>
      </c>
      <c r="I114" s="9">
        <f t="shared" si="11"/>
        <v>51.947840090688622</v>
      </c>
      <c r="J114" s="9">
        <v>0</v>
      </c>
      <c r="K114" s="9">
        <f t="shared" si="12"/>
        <v>47.055956573373379</v>
      </c>
      <c r="L114" s="6">
        <f t="shared" ca="1" si="13"/>
        <v>137</v>
      </c>
    </row>
    <row r="115" spans="1:12" ht="18.25" customHeight="1">
      <c r="A115" s="7">
        <v>43578</v>
      </c>
      <c r="B115" s="8">
        <f t="shared" si="7"/>
        <v>3</v>
      </c>
      <c r="C115" s="9">
        <f t="shared" si="8"/>
        <v>0.8</v>
      </c>
      <c r="D115" s="9">
        <v>18.7</v>
      </c>
      <c r="E115" s="9">
        <f t="shared" si="9"/>
        <v>52.82431615719382</v>
      </c>
      <c r="F115" s="9">
        <v>23.3</v>
      </c>
      <c r="G115" s="9">
        <f t="shared" si="10"/>
        <v>52.956478406669667</v>
      </c>
      <c r="H115" s="9">
        <v>15.3</v>
      </c>
      <c r="I115" s="9">
        <f t="shared" si="11"/>
        <v>53.06084316912176</v>
      </c>
      <c r="J115" s="9">
        <v>0</v>
      </c>
      <c r="K115" s="9">
        <f t="shared" si="12"/>
        <v>47.055956573373379</v>
      </c>
      <c r="L115" s="6">
        <f t="shared" ca="1" si="13"/>
        <v>166</v>
      </c>
    </row>
    <row r="116" spans="1:12" ht="18.25" customHeight="1">
      <c r="A116" s="7">
        <v>43579</v>
      </c>
      <c r="B116" s="8">
        <f t="shared" si="7"/>
        <v>4</v>
      </c>
      <c r="C116" s="9">
        <f t="shared" si="8"/>
        <v>1</v>
      </c>
      <c r="D116" s="9">
        <v>19.100000000000001</v>
      </c>
      <c r="E116" s="9">
        <f t="shared" si="9"/>
        <v>53.336616019226746</v>
      </c>
      <c r="F116" s="9">
        <v>20.6</v>
      </c>
      <c r="G116" s="9">
        <f t="shared" si="10"/>
        <v>49.569741838294739</v>
      </c>
      <c r="H116" s="9">
        <v>17.5</v>
      </c>
      <c r="I116" s="9">
        <f t="shared" si="11"/>
        <v>55.781517360847218</v>
      </c>
      <c r="J116" s="9">
        <v>3</v>
      </c>
      <c r="K116" s="9">
        <f t="shared" si="12"/>
        <v>48.776195395228314</v>
      </c>
      <c r="L116" s="6">
        <f t="shared" ca="1" si="13"/>
        <v>186</v>
      </c>
    </row>
    <row r="117" spans="1:12" ht="18.25" customHeight="1">
      <c r="A117" s="7">
        <v>43580</v>
      </c>
      <c r="B117" s="8">
        <f t="shared" si="7"/>
        <v>5</v>
      </c>
      <c r="C117" s="9">
        <f t="shared" si="8"/>
        <v>0.8</v>
      </c>
      <c r="D117" s="9">
        <v>20.3</v>
      </c>
      <c r="E117" s="9">
        <f t="shared" si="9"/>
        <v>54.873515605325508</v>
      </c>
      <c r="F117" s="9">
        <v>24.3</v>
      </c>
      <c r="G117" s="9">
        <f t="shared" si="10"/>
        <v>54.210825283845566</v>
      </c>
      <c r="H117" s="9">
        <v>18.100000000000001</v>
      </c>
      <c r="I117" s="9">
        <f t="shared" si="11"/>
        <v>56.523519413135979</v>
      </c>
      <c r="J117" s="9">
        <v>4</v>
      </c>
      <c r="K117" s="9">
        <f t="shared" si="12"/>
        <v>49.349608335846625</v>
      </c>
      <c r="L117" s="6">
        <f t="shared" ca="1" si="13"/>
        <v>160</v>
      </c>
    </row>
    <row r="118" spans="1:12" ht="18.25" customHeight="1">
      <c r="A118" s="7">
        <v>43581</v>
      </c>
      <c r="B118" s="8">
        <f t="shared" si="7"/>
        <v>6</v>
      </c>
      <c r="C118" s="9">
        <f t="shared" si="8"/>
        <v>0.8</v>
      </c>
      <c r="D118" s="9">
        <v>11.6</v>
      </c>
      <c r="E118" s="9">
        <f t="shared" si="9"/>
        <v>43.730993606109479</v>
      </c>
      <c r="F118" s="9">
        <v>20</v>
      </c>
      <c r="G118" s="9">
        <f t="shared" si="10"/>
        <v>48.8171337119892</v>
      </c>
      <c r="H118" s="9">
        <v>9.5</v>
      </c>
      <c r="I118" s="9">
        <f t="shared" si="11"/>
        <v>45.888156663663736</v>
      </c>
      <c r="J118" s="9">
        <v>4.5</v>
      </c>
      <c r="K118" s="9">
        <f t="shared" si="12"/>
        <v>49.636314806155781</v>
      </c>
      <c r="L118" s="6">
        <f t="shared" ca="1" si="13"/>
        <v>134</v>
      </c>
    </row>
    <row r="119" spans="1:12" ht="18.25" customHeight="1">
      <c r="A119" s="7">
        <v>43582</v>
      </c>
      <c r="B119" s="8">
        <f t="shared" si="7"/>
        <v>7</v>
      </c>
      <c r="C119" s="9">
        <f t="shared" si="8"/>
        <v>1.2</v>
      </c>
      <c r="D119" s="9">
        <v>10.199999999999999</v>
      </c>
      <c r="E119" s="9">
        <f t="shared" si="9"/>
        <v>41.937944088994257</v>
      </c>
      <c r="F119" s="9">
        <v>13.2</v>
      </c>
      <c r="G119" s="9">
        <f t="shared" si="10"/>
        <v>40.287574947193079</v>
      </c>
      <c r="H119" s="9">
        <v>8</v>
      </c>
      <c r="I119" s="9">
        <f t="shared" si="11"/>
        <v>44.033151532941837</v>
      </c>
      <c r="J119" s="9">
        <v>6.5</v>
      </c>
      <c r="K119" s="9">
        <f t="shared" si="12"/>
        <v>50.783140687392404</v>
      </c>
      <c r="L119" s="6">
        <f t="shared" ca="1" si="13"/>
        <v>147</v>
      </c>
    </row>
    <row r="120" spans="1:12" ht="18.25" customHeight="1">
      <c r="A120" s="7">
        <v>43583</v>
      </c>
      <c r="B120" s="8">
        <f t="shared" si="7"/>
        <v>1</v>
      </c>
      <c r="C120" s="9">
        <f t="shared" si="8"/>
        <v>1.5</v>
      </c>
      <c r="D120" s="9">
        <v>12.6</v>
      </c>
      <c r="E120" s="9">
        <f t="shared" si="9"/>
        <v>45.011743261191782</v>
      </c>
      <c r="F120" s="9">
        <v>18.7</v>
      </c>
      <c r="G120" s="9">
        <f t="shared" si="10"/>
        <v>47.186482771660529</v>
      </c>
      <c r="H120" s="9">
        <v>6</v>
      </c>
      <c r="I120" s="9">
        <f t="shared" si="11"/>
        <v>41.559811358645966</v>
      </c>
      <c r="J120" s="9">
        <v>0</v>
      </c>
      <c r="K120" s="9">
        <f t="shared" si="12"/>
        <v>47.055956573373379</v>
      </c>
      <c r="L120" s="6">
        <f t="shared" ca="1" si="13"/>
        <v>211</v>
      </c>
    </row>
    <row r="121" spans="1:12" ht="18.25" customHeight="1">
      <c r="A121" s="7">
        <v>43584</v>
      </c>
      <c r="B121" s="8">
        <f t="shared" si="7"/>
        <v>2</v>
      </c>
      <c r="C121" s="9">
        <f t="shared" si="8"/>
        <v>0.6</v>
      </c>
      <c r="D121" s="9">
        <v>14.8</v>
      </c>
      <c r="E121" s="9">
        <f t="shared" si="9"/>
        <v>47.829392502372848</v>
      </c>
      <c r="F121" s="9">
        <v>19.8</v>
      </c>
      <c r="G121" s="9">
        <f t="shared" si="10"/>
        <v>48.566264336554021</v>
      </c>
      <c r="H121" s="9">
        <v>10.5</v>
      </c>
      <c r="I121" s="9">
        <f t="shared" si="11"/>
        <v>47.124826750811671</v>
      </c>
      <c r="J121" s="9">
        <v>0</v>
      </c>
      <c r="K121" s="9">
        <f t="shared" si="12"/>
        <v>47.055956573373379</v>
      </c>
      <c r="L121" s="6">
        <f t="shared" ca="1" si="13"/>
        <v>109</v>
      </c>
    </row>
    <row r="122" spans="1:12" ht="18.25" customHeight="1">
      <c r="A122" s="7">
        <v>43585</v>
      </c>
      <c r="B122" s="8">
        <f t="shared" si="7"/>
        <v>3</v>
      </c>
      <c r="C122" s="9">
        <f t="shared" si="8"/>
        <v>0.8</v>
      </c>
      <c r="D122" s="9">
        <v>14.8</v>
      </c>
      <c r="E122" s="9">
        <f t="shared" si="9"/>
        <v>47.829392502372848</v>
      </c>
      <c r="F122" s="9">
        <v>17.399999999999999</v>
      </c>
      <c r="G122" s="9">
        <f t="shared" si="10"/>
        <v>45.555831831331858</v>
      </c>
      <c r="H122" s="9">
        <v>12.8</v>
      </c>
      <c r="I122" s="9">
        <f t="shared" si="11"/>
        <v>49.969167951251926</v>
      </c>
      <c r="J122" s="9">
        <v>20</v>
      </c>
      <c r="K122" s="9">
        <f t="shared" si="12"/>
        <v>58.524215385739609</v>
      </c>
      <c r="L122" s="6">
        <f t="shared" ca="1" si="13"/>
        <v>122</v>
      </c>
    </row>
    <row r="123" spans="1:12" ht="18.25" customHeight="1">
      <c r="A123" s="7">
        <v>43586</v>
      </c>
      <c r="B123" s="8">
        <f t="shared" si="7"/>
        <v>4</v>
      </c>
      <c r="C123" s="9">
        <f t="shared" si="8"/>
        <v>1</v>
      </c>
      <c r="D123" s="9">
        <v>17.399999999999999</v>
      </c>
      <c r="E123" s="9">
        <f t="shared" si="9"/>
        <v>51.159341605586825</v>
      </c>
      <c r="F123" s="9">
        <v>23.4</v>
      </c>
      <c r="G123" s="9">
        <f t="shared" si="10"/>
        <v>53.081913094387254</v>
      </c>
      <c r="H123" s="9">
        <v>14.3</v>
      </c>
      <c r="I123" s="9">
        <f t="shared" si="11"/>
        <v>51.824173081973825</v>
      </c>
      <c r="J123" s="9">
        <v>26</v>
      </c>
      <c r="K123" s="9">
        <f t="shared" si="12"/>
        <v>61.964693029449478</v>
      </c>
      <c r="L123" s="6">
        <f t="shared" ca="1" si="13"/>
        <v>142</v>
      </c>
    </row>
    <row r="124" spans="1:12" ht="18.25" customHeight="1">
      <c r="A124" s="7">
        <v>43587</v>
      </c>
      <c r="B124" s="8">
        <f t="shared" si="7"/>
        <v>5</v>
      </c>
      <c r="C124" s="9">
        <f t="shared" si="8"/>
        <v>0.8</v>
      </c>
      <c r="D124" s="9">
        <v>17.3</v>
      </c>
      <c r="E124" s="9">
        <f t="shared" si="9"/>
        <v>51.031266640078599</v>
      </c>
      <c r="F124" s="9">
        <v>23.9</v>
      </c>
      <c r="G124" s="9">
        <f t="shared" si="10"/>
        <v>53.709086532975206</v>
      </c>
      <c r="H124" s="9">
        <v>13.8</v>
      </c>
      <c r="I124" s="9">
        <f t="shared" si="11"/>
        <v>51.205838038399861</v>
      </c>
      <c r="J124" s="9">
        <v>3.5</v>
      </c>
      <c r="K124" s="9">
        <f t="shared" si="12"/>
        <v>49.062901865537469</v>
      </c>
      <c r="L124" s="6">
        <f t="shared" ca="1" si="13"/>
        <v>147</v>
      </c>
    </row>
    <row r="125" spans="1:12" ht="18.25" customHeight="1">
      <c r="A125" s="7">
        <v>43588</v>
      </c>
      <c r="B125" s="8">
        <f t="shared" si="7"/>
        <v>6</v>
      </c>
      <c r="C125" s="9">
        <f t="shared" si="8"/>
        <v>0.8</v>
      </c>
      <c r="D125" s="9">
        <v>18.5</v>
      </c>
      <c r="E125" s="9">
        <f t="shared" si="9"/>
        <v>52.568166226177361</v>
      </c>
      <c r="F125" s="9">
        <v>25</v>
      </c>
      <c r="G125" s="9">
        <f t="shared" si="10"/>
        <v>55.088868097868698</v>
      </c>
      <c r="H125" s="9">
        <v>11</v>
      </c>
      <c r="I125" s="9">
        <f t="shared" si="11"/>
        <v>47.743161794385642</v>
      </c>
      <c r="J125" s="9">
        <v>0</v>
      </c>
      <c r="K125" s="9">
        <f t="shared" si="12"/>
        <v>47.055956573373379</v>
      </c>
      <c r="L125" s="6">
        <f t="shared" ca="1" si="13"/>
        <v>141</v>
      </c>
    </row>
    <row r="126" spans="1:12" ht="18.25" customHeight="1">
      <c r="A126" s="7">
        <v>43589</v>
      </c>
      <c r="B126" s="8">
        <f t="shared" si="7"/>
        <v>7</v>
      </c>
      <c r="C126" s="9">
        <f t="shared" si="8"/>
        <v>1.2</v>
      </c>
      <c r="D126" s="9">
        <v>18.399999999999999</v>
      </c>
      <c r="E126" s="9">
        <f t="shared" si="9"/>
        <v>52.440091260669128</v>
      </c>
      <c r="F126" s="9">
        <v>24.8</v>
      </c>
      <c r="G126" s="9">
        <f t="shared" si="10"/>
        <v>54.837998722433518</v>
      </c>
      <c r="H126" s="9">
        <v>14.1</v>
      </c>
      <c r="I126" s="9">
        <f t="shared" si="11"/>
        <v>51.576839064544238</v>
      </c>
      <c r="J126" s="9">
        <v>0</v>
      </c>
      <c r="K126" s="9">
        <f t="shared" si="12"/>
        <v>47.055956573373379</v>
      </c>
      <c r="L126" s="6">
        <f t="shared" ca="1" si="13"/>
        <v>196</v>
      </c>
    </row>
    <row r="127" spans="1:12" ht="18.25" customHeight="1">
      <c r="A127" s="7">
        <v>43590</v>
      </c>
      <c r="B127" s="8">
        <f t="shared" si="7"/>
        <v>1</v>
      </c>
      <c r="C127" s="9">
        <f t="shared" si="8"/>
        <v>1.5</v>
      </c>
      <c r="D127" s="9">
        <v>18.899999999999999</v>
      </c>
      <c r="E127" s="9">
        <f t="shared" si="9"/>
        <v>53.080466088210279</v>
      </c>
      <c r="F127" s="9">
        <v>25.2</v>
      </c>
      <c r="G127" s="9">
        <f t="shared" si="10"/>
        <v>55.339737473303877</v>
      </c>
      <c r="H127" s="9">
        <v>12.5</v>
      </c>
      <c r="I127" s="9">
        <f t="shared" si="11"/>
        <v>49.598166925107542</v>
      </c>
      <c r="J127" s="9">
        <v>0</v>
      </c>
      <c r="K127" s="9">
        <f t="shared" si="12"/>
        <v>47.055956573373379</v>
      </c>
      <c r="L127" s="6">
        <f t="shared" ca="1" si="13"/>
        <v>254</v>
      </c>
    </row>
    <row r="128" spans="1:12" ht="18.25" customHeight="1">
      <c r="A128" s="7">
        <v>43591</v>
      </c>
      <c r="B128" s="8">
        <f t="shared" si="7"/>
        <v>2</v>
      </c>
      <c r="C128" s="9">
        <f t="shared" si="8"/>
        <v>0.6</v>
      </c>
      <c r="D128" s="9">
        <v>18.8</v>
      </c>
      <c r="E128" s="9">
        <f t="shared" si="9"/>
        <v>52.952391122702053</v>
      </c>
      <c r="F128" s="9">
        <v>22.1</v>
      </c>
      <c r="G128" s="9">
        <f t="shared" si="10"/>
        <v>51.45126215405859</v>
      </c>
      <c r="H128" s="9">
        <v>15.1</v>
      </c>
      <c r="I128" s="9">
        <f t="shared" si="11"/>
        <v>52.813509151692173</v>
      </c>
      <c r="J128" s="9">
        <v>0</v>
      </c>
      <c r="K128" s="9">
        <f t="shared" si="12"/>
        <v>47.055956573373379</v>
      </c>
      <c r="L128" s="6">
        <f t="shared" ca="1" si="13"/>
        <v>139</v>
      </c>
    </row>
    <row r="129" spans="1:12" ht="18.25" customHeight="1">
      <c r="A129" s="7">
        <v>43592</v>
      </c>
      <c r="B129" s="8">
        <f t="shared" si="7"/>
        <v>3</v>
      </c>
      <c r="C129" s="9">
        <f t="shared" si="8"/>
        <v>0.8</v>
      </c>
      <c r="D129" s="9">
        <v>15.3</v>
      </c>
      <c r="E129" s="9">
        <f t="shared" si="9"/>
        <v>48.469767329913992</v>
      </c>
      <c r="F129" s="9">
        <v>20.9</v>
      </c>
      <c r="G129" s="9">
        <f t="shared" si="10"/>
        <v>49.946045901447505</v>
      </c>
      <c r="H129" s="9">
        <v>10.8</v>
      </c>
      <c r="I129" s="9">
        <f t="shared" si="11"/>
        <v>47.495827776956055</v>
      </c>
      <c r="J129" s="9">
        <v>0</v>
      </c>
      <c r="K129" s="9">
        <f t="shared" si="12"/>
        <v>47.055956573373379</v>
      </c>
      <c r="L129" s="6">
        <f t="shared" ca="1" si="13"/>
        <v>144</v>
      </c>
    </row>
    <row r="130" spans="1:12" ht="18.25" customHeight="1">
      <c r="A130" s="7">
        <v>43593</v>
      </c>
      <c r="B130" s="8">
        <f t="shared" si="7"/>
        <v>4</v>
      </c>
      <c r="C130" s="9">
        <f t="shared" si="8"/>
        <v>1</v>
      </c>
      <c r="D130" s="9">
        <v>16.5</v>
      </c>
      <c r="E130" s="9">
        <f t="shared" si="9"/>
        <v>50.006666916012755</v>
      </c>
      <c r="F130" s="9">
        <v>22.7</v>
      </c>
      <c r="G130" s="9">
        <f t="shared" si="10"/>
        <v>52.203870280364129</v>
      </c>
      <c r="H130" s="9">
        <v>7.9</v>
      </c>
      <c r="I130" s="9">
        <f t="shared" si="11"/>
        <v>43.90948452422704</v>
      </c>
      <c r="J130" s="9">
        <v>0</v>
      </c>
      <c r="K130" s="9">
        <f t="shared" si="12"/>
        <v>47.055956573373379</v>
      </c>
      <c r="L130" s="6">
        <f t="shared" ca="1" si="13"/>
        <v>161</v>
      </c>
    </row>
    <row r="131" spans="1:12" ht="18.25" customHeight="1">
      <c r="A131" s="7">
        <v>43594</v>
      </c>
      <c r="B131" s="8">
        <f t="shared" ref="B131:B194" si="14">WEEKDAY($A131)</f>
        <v>5</v>
      </c>
      <c r="C131" s="9">
        <f t="shared" ref="C131:C194" si="15">_xlfn.IFS(B131=1,1.5,B131=2,0.6,B131=3,0.8,B131=4,1,B131=5,0.8,B131=6,0.8,B131=7,1.2)</f>
        <v>0.8</v>
      </c>
      <c r="D131" s="9">
        <v>18.600000000000001</v>
      </c>
      <c r="E131" s="9">
        <f t="shared" ref="E131:E194" si="16">(((D131-AVERAGE(D$3:D$367))*10)/STDEVP(D$3:D$367))+50</f>
        <v>52.696241191685594</v>
      </c>
      <c r="F131" s="9">
        <v>22.7</v>
      </c>
      <c r="G131" s="9">
        <f t="shared" ref="G131:G194" si="17">(((F131-AVERAGE(F$3:F$367))*10)/STDEVP(F$3:F$367))+50</f>
        <v>52.203870280364129</v>
      </c>
      <c r="H131" s="9">
        <v>14.3</v>
      </c>
      <c r="I131" s="9">
        <f t="shared" ref="I131:I194" si="18">(((H131-AVERAGE(H$3:H$367))*10)/STDEVP(H$3:H$367))+50</f>
        <v>51.824173081973825</v>
      </c>
      <c r="J131" s="9">
        <v>0</v>
      </c>
      <c r="K131" s="9">
        <f t="shared" ref="K131:K194" si="19">(((J131-AVERAGE(J$3:J$367))*10)/STDEVP(J$3:J$367))+50</f>
        <v>47.055956573373379</v>
      </c>
      <c r="L131" s="6">
        <f t="shared" ca="1" si="13"/>
        <v>155</v>
      </c>
    </row>
    <row r="132" spans="1:12" ht="18.25" customHeight="1">
      <c r="A132" s="7">
        <v>43595</v>
      </c>
      <c r="B132" s="8">
        <f t="shared" si="14"/>
        <v>6</v>
      </c>
      <c r="C132" s="9">
        <f t="shared" si="15"/>
        <v>0.8</v>
      </c>
      <c r="D132" s="9">
        <v>20.6</v>
      </c>
      <c r="E132" s="9">
        <f t="shared" si="16"/>
        <v>55.257740501850201</v>
      </c>
      <c r="F132" s="9">
        <v>27.1</v>
      </c>
      <c r="G132" s="9">
        <f t="shared" si="17"/>
        <v>57.722996539938087</v>
      </c>
      <c r="H132" s="9">
        <v>13.9</v>
      </c>
      <c r="I132" s="9">
        <f t="shared" si="18"/>
        <v>51.329505047114651</v>
      </c>
      <c r="J132" s="9">
        <v>0</v>
      </c>
      <c r="K132" s="9">
        <f t="shared" si="19"/>
        <v>47.055956573373379</v>
      </c>
      <c r="L132" s="6">
        <f t="shared" ref="L132:L195" ca="1" si="20">MAX(INT(RAND()*30*C132+E132*30/50+G132*50/50+I132*10/50+I132*50/50-K132*90/50+100*C132),0)</f>
        <v>151</v>
      </c>
    </row>
    <row r="133" spans="1:12" ht="18.25" customHeight="1">
      <c r="A133" s="7">
        <v>43596</v>
      </c>
      <c r="B133" s="8">
        <f t="shared" si="14"/>
        <v>7</v>
      </c>
      <c r="C133" s="9">
        <f t="shared" si="15"/>
        <v>1.2</v>
      </c>
      <c r="D133" s="9">
        <v>20.9</v>
      </c>
      <c r="E133" s="9">
        <f t="shared" si="16"/>
        <v>55.641965398374886</v>
      </c>
      <c r="F133" s="9">
        <v>27.8</v>
      </c>
      <c r="G133" s="9">
        <f t="shared" si="17"/>
        <v>58.601039353961212</v>
      </c>
      <c r="H133" s="9">
        <v>15.3</v>
      </c>
      <c r="I133" s="9">
        <f t="shared" si="18"/>
        <v>53.06084316912176</v>
      </c>
      <c r="J133" s="9">
        <v>0</v>
      </c>
      <c r="K133" s="9">
        <f t="shared" si="19"/>
        <v>47.055956573373379</v>
      </c>
      <c r="L133" s="6">
        <f t="shared" ca="1" si="20"/>
        <v>218</v>
      </c>
    </row>
    <row r="134" spans="1:12" ht="18.25" customHeight="1">
      <c r="A134" s="7">
        <v>43597</v>
      </c>
      <c r="B134" s="8">
        <f t="shared" si="14"/>
        <v>1</v>
      </c>
      <c r="C134" s="9">
        <f t="shared" si="15"/>
        <v>1.5</v>
      </c>
      <c r="D134" s="9">
        <v>17.600000000000001</v>
      </c>
      <c r="E134" s="9">
        <f t="shared" si="16"/>
        <v>51.415491536603291</v>
      </c>
      <c r="F134" s="9">
        <v>22.2</v>
      </c>
      <c r="G134" s="9">
        <f t="shared" si="17"/>
        <v>51.576696841776176</v>
      </c>
      <c r="H134" s="9">
        <v>14.5</v>
      </c>
      <c r="I134" s="9">
        <f t="shared" si="18"/>
        <v>52.071507099403412</v>
      </c>
      <c r="J134" s="9">
        <v>0</v>
      </c>
      <c r="K134" s="9">
        <f t="shared" si="19"/>
        <v>47.055956573373379</v>
      </c>
      <c r="L134" s="6">
        <f t="shared" ca="1" si="20"/>
        <v>223</v>
      </c>
    </row>
    <row r="135" spans="1:12" ht="18.25" customHeight="1">
      <c r="A135" s="7">
        <v>43598</v>
      </c>
      <c r="B135" s="8">
        <f t="shared" si="14"/>
        <v>2</v>
      </c>
      <c r="C135" s="9">
        <f t="shared" si="15"/>
        <v>0.6</v>
      </c>
      <c r="D135" s="9">
        <v>17.7</v>
      </c>
      <c r="E135" s="9">
        <f t="shared" si="16"/>
        <v>51.543566502111517</v>
      </c>
      <c r="F135" s="9">
        <v>22.6</v>
      </c>
      <c r="G135" s="9">
        <f t="shared" si="17"/>
        <v>52.078435592646542</v>
      </c>
      <c r="H135" s="9">
        <v>13.3</v>
      </c>
      <c r="I135" s="9">
        <f t="shared" si="18"/>
        <v>50.58750299482589</v>
      </c>
      <c r="J135" s="9">
        <v>0</v>
      </c>
      <c r="K135" s="9">
        <f t="shared" si="19"/>
        <v>47.055956573373379</v>
      </c>
      <c r="L135" s="6">
        <f t="shared" ca="1" si="20"/>
        <v>125</v>
      </c>
    </row>
    <row r="136" spans="1:12" ht="18.25" customHeight="1">
      <c r="A136" s="7">
        <v>43599</v>
      </c>
      <c r="B136" s="8">
        <f t="shared" si="14"/>
        <v>3</v>
      </c>
      <c r="C136" s="9">
        <f t="shared" si="15"/>
        <v>0.8</v>
      </c>
      <c r="D136" s="9">
        <v>17.899999999999999</v>
      </c>
      <c r="E136" s="9">
        <f t="shared" si="16"/>
        <v>51.799716433127976</v>
      </c>
      <c r="F136" s="9">
        <v>19.3</v>
      </c>
      <c r="G136" s="9">
        <f t="shared" si="17"/>
        <v>47.939090897966068</v>
      </c>
      <c r="H136" s="9">
        <v>16.100000000000001</v>
      </c>
      <c r="I136" s="9">
        <f t="shared" si="18"/>
        <v>54.050179238840109</v>
      </c>
      <c r="J136" s="9">
        <v>0.5</v>
      </c>
      <c r="K136" s="9">
        <f t="shared" si="19"/>
        <v>47.342663043682535</v>
      </c>
      <c r="L136" s="6">
        <f t="shared" ca="1" si="20"/>
        <v>142</v>
      </c>
    </row>
    <row r="137" spans="1:12" ht="18.25" customHeight="1">
      <c r="A137" s="7">
        <v>43600</v>
      </c>
      <c r="B137" s="8">
        <f t="shared" si="14"/>
        <v>4</v>
      </c>
      <c r="C137" s="9">
        <f t="shared" si="15"/>
        <v>1</v>
      </c>
      <c r="D137" s="9">
        <v>18.7</v>
      </c>
      <c r="E137" s="9">
        <f t="shared" si="16"/>
        <v>52.82431615719382</v>
      </c>
      <c r="F137" s="9">
        <v>23.8</v>
      </c>
      <c r="G137" s="9">
        <f t="shared" si="17"/>
        <v>53.58365184525762</v>
      </c>
      <c r="H137" s="9">
        <v>15.7</v>
      </c>
      <c r="I137" s="9">
        <f t="shared" si="18"/>
        <v>53.555511203980934</v>
      </c>
      <c r="J137" s="9">
        <v>0</v>
      </c>
      <c r="K137" s="9">
        <f t="shared" si="19"/>
        <v>47.055956573373379</v>
      </c>
      <c r="L137" s="6">
        <f t="shared" ca="1" si="20"/>
        <v>184</v>
      </c>
    </row>
    <row r="138" spans="1:12" ht="18.25" customHeight="1">
      <c r="A138" s="7">
        <v>43601</v>
      </c>
      <c r="B138" s="8">
        <f t="shared" si="14"/>
        <v>5</v>
      </c>
      <c r="C138" s="9">
        <f t="shared" si="15"/>
        <v>0.8</v>
      </c>
      <c r="D138" s="9">
        <v>20</v>
      </c>
      <c r="E138" s="9">
        <f t="shared" si="16"/>
        <v>54.489290708800816</v>
      </c>
      <c r="F138" s="9">
        <v>24.6</v>
      </c>
      <c r="G138" s="9">
        <f t="shared" si="17"/>
        <v>54.587129346998339</v>
      </c>
      <c r="H138" s="9">
        <v>16</v>
      </c>
      <c r="I138" s="9">
        <f t="shared" si="18"/>
        <v>53.926512230125311</v>
      </c>
      <c r="J138" s="9">
        <v>0</v>
      </c>
      <c r="K138" s="9">
        <f t="shared" si="19"/>
        <v>47.055956573373379</v>
      </c>
      <c r="L138" s="6">
        <f t="shared" ca="1" si="20"/>
        <v>147</v>
      </c>
    </row>
    <row r="139" spans="1:12" ht="18.25" customHeight="1">
      <c r="A139" s="7">
        <v>43602</v>
      </c>
      <c r="B139" s="8">
        <f t="shared" si="14"/>
        <v>6</v>
      </c>
      <c r="C139" s="9">
        <f t="shared" si="15"/>
        <v>0.8</v>
      </c>
      <c r="D139" s="9">
        <v>20</v>
      </c>
      <c r="E139" s="9">
        <f t="shared" si="16"/>
        <v>54.489290708800816</v>
      </c>
      <c r="F139" s="9">
        <v>25.9</v>
      </c>
      <c r="G139" s="9">
        <f t="shared" si="17"/>
        <v>56.217780287327002</v>
      </c>
      <c r="H139" s="9">
        <v>15.3</v>
      </c>
      <c r="I139" s="9">
        <f t="shared" si="18"/>
        <v>53.06084316912176</v>
      </c>
      <c r="J139" s="9">
        <v>0</v>
      </c>
      <c r="K139" s="9">
        <f t="shared" si="19"/>
        <v>47.055956573373379</v>
      </c>
      <c r="L139" s="6">
        <f t="shared" ca="1" si="20"/>
        <v>162</v>
      </c>
    </row>
    <row r="140" spans="1:12" ht="18.25" customHeight="1">
      <c r="A140" s="7">
        <v>43603</v>
      </c>
      <c r="B140" s="8">
        <f t="shared" si="14"/>
        <v>7</v>
      </c>
      <c r="C140" s="9">
        <f t="shared" si="15"/>
        <v>1.2</v>
      </c>
      <c r="D140" s="9">
        <v>20.3</v>
      </c>
      <c r="E140" s="9">
        <f t="shared" si="16"/>
        <v>54.873515605325508</v>
      </c>
      <c r="F140" s="9">
        <v>25.6</v>
      </c>
      <c r="G140" s="9">
        <f t="shared" si="17"/>
        <v>55.841476224174237</v>
      </c>
      <c r="H140" s="9">
        <v>15.6</v>
      </c>
      <c r="I140" s="9">
        <f t="shared" si="18"/>
        <v>53.431844195266137</v>
      </c>
      <c r="J140" s="9">
        <v>0</v>
      </c>
      <c r="K140" s="9">
        <f t="shared" si="19"/>
        <v>47.055956573373379</v>
      </c>
      <c r="L140" s="6">
        <f t="shared" ca="1" si="20"/>
        <v>219</v>
      </c>
    </row>
    <row r="141" spans="1:12" ht="18.25" customHeight="1">
      <c r="A141" s="7">
        <v>43604</v>
      </c>
      <c r="B141" s="8">
        <f t="shared" si="14"/>
        <v>1</v>
      </c>
      <c r="C141" s="9">
        <f t="shared" si="15"/>
        <v>1.5</v>
      </c>
      <c r="D141" s="9">
        <v>20.5</v>
      </c>
      <c r="E141" s="9">
        <f t="shared" si="16"/>
        <v>55.129665536341967</v>
      </c>
      <c r="F141" s="9">
        <v>25.2</v>
      </c>
      <c r="G141" s="9">
        <f t="shared" si="17"/>
        <v>55.339737473303877</v>
      </c>
      <c r="H141" s="9">
        <v>17.5</v>
      </c>
      <c r="I141" s="9">
        <f t="shared" si="18"/>
        <v>55.781517360847218</v>
      </c>
      <c r="J141" s="9">
        <v>0</v>
      </c>
      <c r="K141" s="9">
        <f t="shared" si="19"/>
        <v>47.055956573373379</v>
      </c>
      <c r="L141" s="6">
        <f t="shared" ca="1" si="20"/>
        <v>229</v>
      </c>
    </row>
    <row r="142" spans="1:12" ht="18.25" customHeight="1">
      <c r="A142" s="7">
        <v>43605</v>
      </c>
      <c r="B142" s="8">
        <f t="shared" si="14"/>
        <v>2</v>
      </c>
      <c r="C142" s="9">
        <f t="shared" si="15"/>
        <v>0.6</v>
      </c>
      <c r="D142" s="9">
        <v>20.5</v>
      </c>
      <c r="E142" s="9">
        <f t="shared" si="16"/>
        <v>55.129665536341967</v>
      </c>
      <c r="F142" s="9">
        <v>25</v>
      </c>
      <c r="G142" s="9">
        <f t="shared" si="17"/>
        <v>55.088868097868698</v>
      </c>
      <c r="H142" s="9">
        <v>16.5</v>
      </c>
      <c r="I142" s="9">
        <f t="shared" si="18"/>
        <v>54.544847273699283</v>
      </c>
      <c r="J142" s="9">
        <v>0</v>
      </c>
      <c r="K142" s="9">
        <f t="shared" si="19"/>
        <v>47.055956573373379</v>
      </c>
      <c r="L142" s="6">
        <f t="shared" ca="1" si="20"/>
        <v>134</v>
      </c>
    </row>
    <row r="143" spans="1:12" ht="18.25" customHeight="1">
      <c r="A143" s="7">
        <v>43606</v>
      </c>
      <c r="B143" s="8">
        <f t="shared" si="14"/>
        <v>3</v>
      </c>
      <c r="C143" s="9">
        <f t="shared" si="15"/>
        <v>0.8</v>
      </c>
      <c r="D143" s="9">
        <v>19.399999999999999</v>
      </c>
      <c r="E143" s="9">
        <f t="shared" si="16"/>
        <v>53.720840915751431</v>
      </c>
      <c r="F143" s="9">
        <v>21.9</v>
      </c>
      <c r="G143" s="9">
        <f t="shared" si="17"/>
        <v>51.200392778623403</v>
      </c>
      <c r="H143" s="9">
        <v>16.3</v>
      </c>
      <c r="I143" s="9">
        <f t="shared" si="18"/>
        <v>54.297513256269696</v>
      </c>
      <c r="J143" s="9">
        <v>82</v>
      </c>
      <c r="K143" s="9">
        <f t="shared" si="19"/>
        <v>94.075817704074936</v>
      </c>
      <c r="L143" s="6">
        <f t="shared" ca="1" si="20"/>
        <v>61</v>
      </c>
    </row>
    <row r="144" spans="1:12" ht="18.25" customHeight="1">
      <c r="A144" s="7">
        <v>43607</v>
      </c>
      <c r="B144" s="8">
        <f t="shared" si="14"/>
        <v>4</v>
      </c>
      <c r="C144" s="9">
        <f t="shared" si="15"/>
        <v>1</v>
      </c>
      <c r="D144" s="9">
        <v>19.399999999999999</v>
      </c>
      <c r="E144" s="9">
        <f t="shared" si="16"/>
        <v>53.720840915751431</v>
      </c>
      <c r="F144" s="9">
        <v>25.2</v>
      </c>
      <c r="G144" s="9">
        <f t="shared" si="17"/>
        <v>55.339737473303877</v>
      </c>
      <c r="H144" s="9">
        <v>14.1</v>
      </c>
      <c r="I144" s="9">
        <f t="shared" si="18"/>
        <v>51.576839064544238</v>
      </c>
      <c r="J144" s="9">
        <v>0</v>
      </c>
      <c r="K144" s="9">
        <f t="shared" si="19"/>
        <v>47.055956573373379</v>
      </c>
      <c r="L144" s="6">
        <f t="shared" ca="1" si="20"/>
        <v>170</v>
      </c>
    </row>
    <row r="145" spans="1:12" ht="18.25" customHeight="1">
      <c r="A145" s="7">
        <v>43608</v>
      </c>
      <c r="B145" s="8">
        <f t="shared" si="14"/>
        <v>5</v>
      </c>
      <c r="C145" s="9">
        <f t="shared" si="15"/>
        <v>0.8</v>
      </c>
      <c r="D145" s="9">
        <v>21.3</v>
      </c>
      <c r="E145" s="9">
        <f t="shared" si="16"/>
        <v>56.154265260407811</v>
      </c>
      <c r="F145" s="9">
        <v>27</v>
      </c>
      <c r="G145" s="9">
        <f t="shared" si="17"/>
        <v>57.597561852220494</v>
      </c>
      <c r="H145" s="9">
        <v>15.2</v>
      </c>
      <c r="I145" s="9">
        <f t="shared" si="18"/>
        <v>52.937176160406963</v>
      </c>
      <c r="J145" s="9">
        <v>0</v>
      </c>
      <c r="K145" s="9">
        <f t="shared" si="19"/>
        <v>47.055956573373379</v>
      </c>
      <c r="L145" s="6">
        <f t="shared" ca="1" si="20"/>
        <v>152</v>
      </c>
    </row>
    <row r="146" spans="1:12" ht="18.25" customHeight="1">
      <c r="A146" s="7">
        <v>43609</v>
      </c>
      <c r="B146" s="8">
        <f t="shared" si="14"/>
        <v>6</v>
      </c>
      <c r="C146" s="9">
        <f t="shared" si="15"/>
        <v>0.8</v>
      </c>
      <c r="D146" s="9">
        <v>23.1</v>
      </c>
      <c r="E146" s="9">
        <f t="shared" si="16"/>
        <v>58.459614639555951</v>
      </c>
      <c r="F146" s="9">
        <v>31</v>
      </c>
      <c r="G146" s="9">
        <f t="shared" si="17"/>
        <v>62.614949360924093</v>
      </c>
      <c r="H146" s="9">
        <v>16.399999999999999</v>
      </c>
      <c r="I146" s="9">
        <f t="shared" si="18"/>
        <v>54.421180264984486</v>
      </c>
      <c r="J146" s="9">
        <v>0</v>
      </c>
      <c r="K146" s="9">
        <f t="shared" si="19"/>
        <v>47.055956573373379</v>
      </c>
      <c r="L146" s="6">
        <f t="shared" ca="1" si="20"/>
        <v>162</v>
      </c>
    </row>
    <row r="147" spans="1:12" ht="18.25" customHeight="1">
      <c r="A147" s="7">
        <v>43610</v>
      </c>
      <c r="B147" s="8">
        <f t="shared" si="14"/>
        <v>7</v>
      </c>
      <c r="C147" s="9">
        <f t="shared" si="15"/>
        <v>1.2</v>
      </c>
      <c r="D147" s="9">
        <v>24.4</v>
      </c>
      <c r="E147" s="9">
        <f t="shared" si="16"/>
        <v>60.12458919116294</v>
      </c>
      <c r="F147" s="9">
        <v>31.9</v>
      </c>
      <c r="G147" s="9">
        <f t="shared" si="17"/>
        <v>63.743861550382398</v>
      </c>
      <c r="H147" s="9">
        <v>17</v>
      </c>
      <c r="I147" s="9">
        <f t="shared" si="18"/>
        <v>55.163182317273254</v>
      </c>
      <c r="J147" s="9">
        <v>0</v>
      </c>
      <c r="K147" s="9">
        <f t="shared" si="19"/>
        <v>47.055956573373379</v>
      </c>
      <c r="L147" s="6">
        <f t="shared" ca="1" si="20"/>
        <v>207</v>
      </c>
    </row>
    <row r="148" spans="1:12" ht="18.25" customHeight="1">
      <c r="A148" s="7">
        <v>43611</v>
      </c>
      <c r="B148" s="8">
        <f t="shared" si="14"/>
        <v>1</v>
      </c>
      <c r="C148" s="9">
        <f t="shared" si="15"/>
        <v>1.5</v>
      </c>
      <c r="D148" s="9">
        <v>25.2</v>
      </c>
      <c r="E148" s="9">
        <f t="shared" si="16"/>
        <v>61.149188915228784</v>
      </c>
      <c r="F148" s="9">
        <v>32.6</v>
      </c>
      <c r="G148" s="9">
        <f t="shared" si="17"/>
        <v>64.621904364405538</v>
      </c>
      <c r="H148" s="9">
        <v>18.600000000000001</v>
      </c>
      <c r="I148" s="9">
        <f t="shared" si="18"/>
        <v>57.14185445670995</v>
      </c>
      <c r="J148" s="9">
        <v>0</v>
      </c>
      <c r="K148" s="9">
        <f t="shared" si="19"/>
        <v>47.055956573373379</v>
      </c>
      <c r="L148" s="6">
        <f t="shared" ca="1" si="20"/>
        <v>251</v>
      </c>
    </row>
    <row r="149" spans="1:12" ht="18.25" customHeight="1">
      <c r="A149" s="7">
        <v>43612</v>
      </c>
      <c r="B149" s="8">
        <f t="shared" si="14"/>
        <v>2</v>
      </c>
      <c r="C149" s="9">
        <f t="shared" si="15"/>
        <v>0.6</v>
      </c>
      <c r="D149" s="9">
        <v>26.1</v>
      </c>
      <c r="E149" s="9">
        <f t="shared" si="16"/>
        <v>62.301863604802861</v>
      </c>
      <c r="F149" s="9">
        <v>32.4</v>
      </c>
      <c r="G149" s="9">
        <f t="shared" si="17"/>
        <v>64.371034988970351</v>
      </c>
      <c r="H149" s="9">
        <v>19.899999999999999</v>
      </c>
      <c r="I149" s="9">
        <f t="shared" si="18"/>
        <v>58.749525570002262</v>
      </c>
      <c r="J149" s="9">
        <v>0</v>
      </c>
      <c r="K149" s="9">
        <f t="shared" si="19"/>
        <v>47.055956573373379</v>
      </c>
      <c r="L149" s="6">
        <f t="shared" ca="1" si="20"/>
        <v>164</v>
      </c>
    </row>
    <row r="150" spans="1:12" ht="18.25" customHeight="1">
      <c r="A150" s="7">
        <v>43613</v>
      </c>
      <c r="B150" s="8">
        <f t="shared" si="14"/>
        <v>3</v>
      </c>
      <c r="C150" s="9">
        <f t="shared" si="15"/>
        <v>0.8</v>
      </c>
      <c r="D150" s="9">
        <v>23.5</v>
      </c>
      <c r="E150" s="9">
        <f t="shared" si="16"/>
        <v>58.97191450158887</v>
      </c>
      <c r="F150" s="9">
        <v>28.1</v>
      </c>
      <c r="G150" s="9">
        <f t="shared" si="17"/>
        <v>58.977343417113985</v>
      </c>
      <c r="H150" s="9">
        <v>19.100000000000001</v>
      </c>
      <c r="I150" s="9">
        <f t="shared" si="18"/>
        <v>57.760189500283914</v>
      </c>
      <c r="J150" s="9">
        <v>1</v>
      </c>
      <c r="K150" s="9">
        <f t="shared" si="19"/>
        <v>47.629369513991691</v>
      </c>
      <c r="L150" s="6">
        <f t="shared" ca="1" si="20"/>
        <v>159</v>
      </c>
    </row>
    <row r="151" spans="1:12" ht="18.25" customHeight="1">
      <c r="A151" s="7">
        <v>43614</v>
      </c>
      <c r="B151" s="8">
        <f t="shared" si="14"/>
        <v>4</v>
      </c>
      <c r="C151" s="9">
        <f t="shared" si="15"/>
        <v>1</v>
      </c>
      <c r="D151" s="9">
        <v>20.2</v>
      </c>
      <c r="E151" s="9">
        <f t="shared" si="16"/>
        <v>54.745440639817275</v>
      </c>
      <c r="F151" s="9">
        <v>25.1</v>
      </c>
      <c r="G151" s="9">
        <f t="shared" si="17"/>
        <v>55.214302785586284</v>
      </c>
      <c r="H151" s="9">
        <v>16.8</v>
      </c>
      <c r="I151" s="9">
        <f t="shared" si="18"/>
        <v>54.91584829984366</v>
      </c>
      <c r="J151" s="9">
        <v>7.5</v>
      </c>
      <c r="K151" s="9">
        <f t="shared" si="19"/>
        <v>51.356553628010715</v>
      </c>
      <c r="L151" s="6">
        <f t="shared" ca="1" si="20"/>
        <v>183</v>
      </c>
    </row>
    <row r="152" spans="1:12" ht="18.25" customHeight="1">
      <c r="A152" s="7">
        <v>43615</v>
      </c>
      <c r="B152" s="8">
        <f t="shared" si="14"/>
        <v>5</v>
      </c>
      <c r="C152" s="9">
        <f t="shared" si="15"/>
        <v>0.8</v>
      </c>
      <c r="D152" s="9">
        <v>21.2</v>
      </c>
      <c r="E152" s="9">
        <f t="shared" si="16"/>
        <v>56.026190294899578</v>
      </c>
      <c r="F152" s="9">
        <v>26</v>
      </c>
      <c r="G152" s="9">
        <f t="shared" si="17"/>
        <v>56.343214975044596</v>
      </c>
      <c r="H152" s="9">
        <v>16.600000000000001</v>
      </c>
      <c r="I152" s="9">
        <f t="shared" si="18"/>
        <v>54.66851428241408</v>
      </c>
      <c r="J152" s="9">
        <v>0</v>
      </c>
      <c r="K152" s="9">
        <f t="shared" si="19"/>
        <v>47.055956573373379</v>
      </c>
      <c r="L152" s="6">
        <f t="shared" ca="1" si="20"/>
        <v>153</v>
      </c>
    </row>
    <row r="153" spans="1:12" ht="18.25" customHeight="1">
      <c r="A153" s="7">
        <v>43616</v>
      </c>
      <c r="B153" s="8">
        <f t="shared" si="14"/>
        <v>6</v>
      </c>
      <c r="C153" s="9">
        <f t="shared" si="15"/>
        <v>0.8</v>
      </c>
      <c r="D153" s="9">
        <v>21.6</v>
      </c>
      <c r="E153" s="9">
        <f t="shared" si="16"/>
        <v>56.538490156932497</v>
      </c>
      <c r="F153" s="9">
        <v>24.2</v>
      </c>
      <c r="G153" s="9">
        <f t="shared" si="17"/>
        <v>54.085390596127979</v>
      </c>
      <c r="H153" s="9">
        <v>19.5</v>
      </c>
      <c r="I153" s="9">
        <f t="shared" si="18"/>
        <v>58.254857535143088</v>
      </c>
      <c r="J153" s="9">
        <v>0</v>
      </c>
      <c r="K153" s="9">
        <f t="shared" si="19"/>
        <v>47.055956573373379</v>
      </c>
      <c r="L153" s="6">
        <f t="shared" ca="1" si="20"/>
        <v>161</v>
      </c>
    </row>
    <row r="154" spans="1:12" ht="18.25" customHeight="1">
      <c r="A154" s="7">
        <v>43617</v>
      </c>
      <c r="B154" s="8">
        <f t="shared" si="14"/>
        <v>7</v>
      </c>
      <c r="C154" s="9">
        <f t="shared" si="15"/>
        <v>1.2</v>
      </c>
      <c r="D154" s="9">
        <v>21.8</v>
      </c>
      <c r="E154" s="9">
        <f t="shared" si="16"/>
        <v>56.794640087948963</v>
      </c>
      <c r="F154" s="9">
        <v>25.7</v>
      </c>
      <c r="G154" s="9">
        <f t="shared" si="17"/>
        <v>55.966910911891823</v>
      </c>
      <c r="H154" s="9">
        <v>18.600000000000001</v>
      </c>
      <c r="I154" s="9">
        <f t="shared" si="18"/>
        <v>57.14185445670995</v>
      </c>
      <c r="J154" s="9">
        <v>0</v>
      </c>
      <c r="K154" s="9">
        <f t="shared" si="19"/>
        <v>47.055956573373379</v>
      </c>
      <c r="L154" s="6">
        <f t="shared" ca="1" si="20"/>
        <v>208</v>
      </c>
    </row>
    <row r="155" spans="1:12" ht="18.25" customHeight="1">
      <c r="A155" s="7">
        <v>43618</v>
      </c>
      <c r="B155" s="8">
        <f t="shared" si="14"/>
        <v>1</v>
      </c>
      <c r="C155" s="9">
        <f t="shared" si="15"/>
        <v>1.5</v>
      </c>
      <c r="D155" s="9">
        <v>22</v>
      </c>
      <c r="E155" s="9">
        <f t="shared" si="16"/>
        <v>57.050790018965422</v>
      </c>
      <c r="F155" s="9">
        <v>25</v>
      </c>
      <c r="G155" s="9">
        <f t="shared" si="17"/>
        <v>55.088868097868698</v>
      </c>
      <c r="H155" s="9">
        <v>19</v>
      </c>
      <c r="I155" s="9">
        <f t="shared" si="18"/>
        <v>57.636522491569117</v>
      </c>
      <c r="J155" s="9">
        <v>0</v>
      </c>
      <c r="K155" s="9">
        <f t="shared" si="19"/>
        <v>47.055956573373379</v>
      </c>
      <c r="L155" s="6">
        <f t="shared" ca="1" si="20"/>
        <v>240</v>
      </c>
    </row>
    <row r="156" spans="1:12" ht="18.25" customHeight="1">
      <c r="A156" s="7">
        <v>43619</v>
      </c>
      <c r="B156" s="8">
        <f t="shared" si="14"/>
        <v>2</v>
      </c>
      <c r="C156" s="9">
        <f t="shared" si="15"/>
        <v>0.6</v>
      </c>
      <c r="D156" s="9">
        <v>22.2</v>
      </c>
      <c r="E156" s="9">
        <f t="shared" si="16"/>
        <v>57.306939949981881</v>
      </c>
      <c r="F156" s="9">
        <v>27</v>
      </c>
      <c r="G156" s="9">
        <f t="shared" si="17"/>
        <v>57.597561852220494</v>
      </c>
      <c r="H156" s="9">
        <v>18.7</v>
      </c>
      <c r="I156" s="9">
        <f t="shared" si="18"/>
        <v>57.26552146542474</v>
      </c>
      <c r="J156" s="9">
        <v>0</v>
      </c>
      <c r="K156" s="9">
        <f t="shared" si="19"/>
        <v>47.055956573373379</v>
      </c>
      <c r="L156" s="6">
        <f t="shared" ca="1" si="20"/>
        <v>142</v>
      </c>
    </row>
    <row r="157" spans="1:12" ht="18.25" customHeight="1">
      <c r="A157" s="7">
        <v>43620</v>
      </c>
      <c r="B157" s="8">
        <f t="shared" si="14"/>
        <v>3</v>
      </c>
      <c r="C157" s="9">
        <f t="shared" si="15"/>
        <v>0.8</v>
      </c>
      <c r="D157" s="9">
        <v>22.4</v>
      </c>
      <c r="E157" s="9">
        <f t="shared" si="16"/>
        <v>57.563089880998341</v>
      </c>
      <c r="F157" s="9">
        <v>27.7</v>
      </c>
      <c r="G157" s="9">
        <f t="shared" si="17"/>
        <v>58.475604666243626</v>
      </c>
      <c r="H157" s="9">
        <v>17.600000000000001</v>
      </c>
      <c r="I157" s="9">
        <f t="shared" si="18"/>
        <v>55.905184369562015</v>
      </c>
      <c r="J157" s="9">
        <v>0</v>
      </c>
      <c r="K157" s="9">
        <f t="shared" si="19"/>
        <v>47.055956573373379</v>
      </c>
      <c r="L157" s="6">
        <f t="shared" ca="1" si="20"/>
        <v>171</v>
      </c>
    </row>
    <row r="158" spans="1:12" ht="18.25" customHeight="1">
      <c r="A158" s="7">
        <v>43621</v>
      </c>
      <c r="B158" s="8">
        <f t="shared" si="14"/>
        <v>4</v>
      </c>
      <c r="C158" s="9">
        <f t="shared" si="15"/>
        <v>1</v>
      </c>
      <c r="D158" s="9">
        <v>22.6</v>
      </c>
      <c r="E158" s="9">
        <f t="shared" si="16"/>
        <v>57.8192398120148</v>
      </c>
      <c r="F158" s="9">
        <v>25.8</v>
      </c>
      <c r="G158" s="9">
        <f t="shared" si="17"/>
        <v>56.092345599609416</v>
      </c>
      <c r="H158" s="9">
        <v>20</v>
      </c>
      <c r="I158" s="9">
        <f t="shared" si="18"/>
        <v>58.873192578717052</v>
      </c>
      <c r="J158" s="9">
        <v>0</v>
      </c>
      <c r="K158" s="9">
        <f t="shared" si="19"/>
        <v>47.055956573373379</v>
      </c>
      <c r="L158" s="6">
        <f t="shared" ca="1" si="20"/>
        <v>195</v>
      </c>
    </row>
    <row r="159" spans="1:12" ht="18.25" customHeight="1">
      <c r="A159" s="7">
        <v>43622</v>
      </c>
      <c r="B159" s="8">
        <f t="shared" si="14"/>
        <v>5</v>
      </c>
      <c r="C159" s="9">
        <f t="shared" si="15"/>
        <v>0.8</v>
      </c>
      <c r="D159" s="9">
        <v>25.2</v>
      </c>
      <c r="E159" s="9">
        <f t="shared" si="16"/>
        <v>61.149188915228784</v>
      </c>
      <c r="F159" s="9">
        <v>32.299999999999997</v>
      </c>
      <c r="G159" s="9">
        <f t="shared" si="17"/>
        <v>64.24560030125275</v>
      </c>
      <c r="H159" s="9">
        <v>18.7</v>
      </c>
      <c r="I159" s="9">
        <f t="shared" si="18"/>
        <v>57.26552146542474</v>
      </c>
      <c r="J159" s="9">
        <v>0</v>
      </c>
      <c r="K159" s="9">
        <f t="shared" si="19"/>
        <v>47.055956573373379</v>
      </c>
      <c r="L159" s="6">
        <f t="shared" ca="1" si="20"/>
        <v>176</v>
      </c>
    </row>
    <row r="160" spans="1:12" ht="18.25" customHeight="1">
      <c r="A160" s="7">
        <v>43623</v>
      </c>
      <c r="B160" s="8">
        <f t="shared" si="14"/>
        <v>6</v>
      </c>
      <c r="C160" s="9">
        <f t="shared" si="15"/>
        <v>0.8</v>
      </c>
      <c r="D160" s="9">
        <v>21</v>
      </c>
      <c r="E160" s="9">
        <f t="shared" si="16"/>
        <v>55.770040363883119</v>
      </c>
      <c r="F160" s="9">
        <v>23.4</v>
      </c>
      <c r="G160" s="9">
        <f t="shared" si="17"/>
        <v>53.081913094387254</v>
      </c>
      <c r="H160" s="9">
        <v>19</v>
      </c>
      <c r="I160" s="9">
        <f t="shared" si="18"/>
        <v>57.636522491569117</v>
      </c>
      <c r="J160" s="9">
        <v>19.5</v>
      </c>
      <c r="K160" s="9">
        <f t="shared" si="19"/>
        <v>58.237508915430453</v>
      </c>
      <c r="L160" s="6">
        <f t="shared" ca="1" si="20"/>
        <v>152</v>
      </c>
    </row>
    <row r="161" spans="1:12" ht="18.25" customHeight="1">
      <c r="A161" s="7">
        <v>43624</v>
      </c>
      <c r="B161" s="8">
        <f t="shared" si="14"/>
        <v>7</v>
      </c>
      <c r="C161" s="9">
        <f t="shared" si="15"/>
        <v>1.2</v>
      </c>
      <c r="D161" s="9">
        <v>20.8</v>
      </c>
      <c r="E161" s="9">
        <f t="shared" si="16"/>
        <v>55.51389043286666</v>
      </c>
      <c r="F161" s="9">
        <v>25.4</v>
      </c>
      <c r="G161" s="9">
        <f t="shared" si="17"/>
        <v>55.590606848739057</v>
      </c>
      <c r="H161" s="9">
        <v>18.7</v>
      </c>
      <c r="I161" s="9">
        <f t="shared" si="18"/>
        <v>57.26552146542474</v>
      </c>
      <c r="J161" s="9">
        <v>0</v>
      </c>
      <c r="K161" s="9">
        <f t="shared" si="19"/>
        <v>47.055956573373379</v>
      </c>
      <c r="L161" s="6">
        <f t="shared" ca="1" si="20"/>
        <v>209</v>
      </c>
    </row>
    <row r="162" spans="1:12" ht="18.25" customHeight="1">
      <c r="A162" s="7">
        <v>43625</v>
      </c>
      <c r="B162" s="8">
        <f t="shared" si="14"/>
        <v>1</v>
      </c>
      <c r="C162" s="9">
        <f t="shared" si="15"/>
        <v>1.5</v>
      </c>
      <c r="D162" s="9">
        <v>17.5</v>
      </c>
      <c r="E162" s="9">
        <f t="shared" si="16"/>
        <v>51.287416571095058</v>
      </c>
      <c r="F162" s="9">
        <v>20.7</v>
      </c>
      <c r="G162" s="9">
        <f t="shared" si="17"/>
        <v>49.695176526012325</v>
      </c>
      <c r="H162" s="9">
        <v>15.9</v>
      </c>
      <c r="I162" s="9">
        <f t="shared" si="18"/>
        <v>53.802845221410522</v>
      </c>
      <c r="J162" s="9">
        <v>10</v>
      </c>
      <c r="K162" s="9">
        <f t="shared" si="19"/>
        <v>52.790085979556494</v>
      </c>
      <c r="L162" s="6">
        <f t="shared" ca="1" si="20"/>
        <v>219</v>
      </c>
    </row>
    <row r="163" spans="1:12" ht="18.25" customHeight="1">
      <c r="A163" s="7">
        <v>43626</v>
      </c>
      <c r="B163" s="8">
        <f t="shared" si="14"/>
        <v>2</v>
      </c>
      <c r="C163" s="9">
        <f t="shared" si="15"/>
        <v>0.6</v>
      </c>
      <c r="D163" s="9">
        <v>16.2</v>
      </c>
      <c r="E163" s="9">
        <f t="shared" si="16"/>
        <v>49.622442019488069</v>
      </c>
      <c r="F163" s="9">
        <v>17.399999999999999</v>
      </c>
      <c r="G163" s="9">
        <f t="shared" si="17"/>
        <v>45.555831831331858</v>
      </c>
      <c r="H163" s="9">
        <v>14.9</v>
      </c>
      <c r="I163" s="9">
        <f t="shared" si="18"/>
        <v>52.566175134262586</v>
      </c>
      <c r="J163" s="9">
        <v>92.5</v>
      </c>
      <c r="K163" s="9">
        <f t="shared" si="19"/>
        <v>100.09665358056722</v>
      </c>
      <c r="L163" s="6">
        <f t="shared" ca="1" si="20"/>
        <v>32</v>
      </c>
    </row>
    <row r="164" spans="1:12" ht="18.25" customHeight="1">
      <c r="A164" s="7">
        <v>43627</v>
      </c>
      <c r="B164" s="8">
        <f t="shared" si="14"/>
        <v>3</v>
      </c>
      <c r="C164" s="9">
        <f t="shared" si="15"/>
        <v>0.8</v>
      </c>
      <c r="D164" s="9">
        <v>18.3</v>
      </c>
      <c r="E164" s="9">
        <f t="shared" si="16"/>
        <v>52.312016295160902</v>
      </c>
      <c r="F164" s="9">
        <v>23.6</v>
      </c>
      <c r="G164" s="9">
        <f t="shared" si="17"/>
        <v>53.33278246982244</v>
      </c>
      <c r="H164" s="9">
        <v>15</v>
      </c>
      <c r="I164" s="9">
        <f t="shared" si="18"/>
        <v>52.689842142977383</v>
      </c>
      <c r="J164" s="9">
        <v>1</v>
      </c>
      <c r="K164" s="9">
        <f t="shared" si="19"/>
        <v>47.629369513991691</v>
      </c>
      <c r="L164" s="6">
        <f t="shared" ca="1" si="20"/>
        <v>154</v>
      </c>
    </row>
    <row r="165" spans="1:12" ht="18.25" customHeight="1">
      <c r="A165" s="7">
        <v>43628</v>
      </c>
      <c r="B165" s="8">
        <f t="shared" si="14"/>
        <v>4</v>
      </c>
      <c r="C165" s="9">
        <f t="shared" si="15"/>
        <v>1</v>
      </c>
      <c r="D165" s="9">
        <v>18</v>
      </c>
      <c r="E165" s="9">
        <f t="shared" si="16"/>
        <v>51.927791398636209</v>
      </c>
      <c r="F165" s="9">
        <v>21.5</v>
      </c>
      <c r="G165" s="9">
        <f t="shared" si="17"/>
        <v>50.698654027753051</v>
      </c>
      <c r="H165" s="9">
        <v>14.5</v>
      </c>
      <c r="I165" s="9">
        <f t="shared" si="18"/>
        <v>52.071507099403412</v>
      </c>
      <c r="J165" s="9">
        <v>0.5</v>
      </c>
      <c r="K165" s="9">
        <f t="shared" si="19"/>
        <v>47.342663043682535</v>
      </c>
      <c r="L165" s="6">
        <f t="shared" ca="1" si="20"/>
        <v>185</v>
      </c>
    </row>
    <row r="166" spans="1:12" ht="18.25" customHeight="1">
      <c r="A166" s="7">
        <v>43629</v>
      </c>
      <c r="B166" s="8">
        <f t="shared" si="14"/>
        <v>5</v>
      </c>
      <c r="C166" s="9">
        <f t="shared" si="15"/>
        <v>0.8</v>
      </c>
      <c r="D166" s="9">
        <v>20.7</v>
      </c>
      <c r="E166" s="9">
        <f t="shared" si="16"/>
        <v>55.385815467358427</v>
      </c>
      <c r="F166" s="9">
        <v>26.4</v>
      </c>
      <c r="G166" s="9">
        <f t="shared" si="17"/>
        <v>56.844953725914955</v>
      </c>
      <c r="H166" s="9">
        <v>13.9</v>
      </c>
      <c r="I166" s="9">
        <f t="shared" si="18"/>
        <v>51.329505047114651</v>
      </c>
      <c r="J166" s="9">
        <v>0</v>
      </c>
      <c r="K166" s="9">
        <f t="shared" si="19"/>
        <v>47.055956573373379</v>
      </c>
      <c r="L166" s="6">
        <f t="shared" ca="1" si="20"/>
        <v>147</v>
      </c>
    </row>
    <row r="167" spans="1:12" ht="18.25" customHeight="1">
      <c r="A167" s="7">
        <v>43630</v>
      </c>
      <c r="B167" s="8">
        <f t="shared" si="14"/>
        <v>6</v>
      </c>
      <c r="C167" s="9">
        <f t="shared" si="15"/>
        <v>0.8</v>
      </c>
      <c r="D167" s="9">
        <v>22.2</v>
      </c>
      <c r="E167" s="9">
        <f t="shared" si="16"/>
        <v>57.306939949981881</v>
      </c>
      <c r="F167" s="9">
        <v>26.8</v>
      </c>
      <c r="G167" s="9">
        <f t="shared" si="17"/>
        <v>57.346692476785314</v>
      </c>
      <c r="H167" s="9">
        <v>17.7</v>
      </c>
      <c r="I167" s="9">
        <f t="shared" si="18"/>
        <v>56.028851378276805</v>
      </c>
      <c r="J167" s="9">
        <v>0</v>
      </c>
      <c r="K167" s="9">
        <f t="shared" si="19"/>
        <v>47.055956573373379</v>
      </c>
      <c r="L167" s="6">
        <f t="shared" ca="1" si="20"/>
        <v>164</v>
      </c>
    </row>
    <row r="168" spans="1:12" ht="18.25" customHeight="1">
      <c r="A168" s="7">
        <v>43631</v>
      </c>
      <c r="B168" s="8">
        <f t="shared" si="14"/>
        <v>7</v>
      </c>
      <c r="C168" s="9">
        <f t="shared" si="15"/>
        <v>1.2</v>
      </c>
      <c r="D168" s="9">
        <v>17.3</v>
      </c>
      <c r="E168" s="9">
        <f t="shared" si="16"/>
        <v>51.031266640078599</v>
      </c>
      <c r="F168" s="9">
        <v>20.9</v>
      </c>
      <c r="G168" s="9">
        <f t="shared" si="17"/>
        <v>49.946045901447505</v>
      </c>
      <c r="H168" s="9">
        <v>16.2</v>
      </c>
      <c r="I168" s="9">
        <f t="shared" si="18"/>
        <v>54.173846247554899</v>
      </c>
      <c r="J168" s="9">
        <v>51</v>
      </c>
      <c r="K168" s="9">
        <f t="shared" si="19"/>
        <v>76.300016544907265</v>
      </c>
      <c r="L168" s="6">
        <f t="shared" ca="1" si="20"/>
        <v>145</v>
      </c>
    </row>
    <row r="169" spans="1:12" ht="18.25" customHeight="1">
      <c r="A169" s="7">
        <v>43632</v>
      </c>
      <c r="B169" s="8">
        <f t="shared" si="14"/>
        <v>1</v>
      </c>
      <c r="C169" s="9">
        <f t="shared" si="15"/>
        <v>1.5</v>
      </c>
      <c r="D169" s="9">
        <v>23.5</v>
      </c>
      <c r="E169" s="9">
        <f t="shared" si="16"/>
        <v>58.97191450158887</v>
      </c>
      <c r="F169" s="9">
        <v>30.7</v>
      </c>
      <c r="G169" s="9">
        <f t="shared" si="17"/>
        <v>62.23864529777132</v>
      </c>
      <c r="H169" s="9">
        <v>16.899999999999999</v>
      </c>
      <c r="I169" s="9">
        <f t="shared" si="18"/>
        <v>55.039515308558457</v>
      </c>
      <c r="J169" s="9">
        <v>5</v>
      </c>
      <c r="K169" s="9">
        <f t="shared" si="19"/>
        <v>49.923021276464937</v>
      </c>
      <c r="L169" s="6">
        <f t="shared" ca="1" si="20"/>
        <v>234</v>
      </c>
    </row>
    <row r="170" spans="1:12" ht="18.25" customHeight="1">
      <c r="A170" s="7">
        <v>43633</v>
      </c>
      <c r="B170" s="8">
        <f t="shared" si="14"/>
        <v>2</v>
      </c>
      <c r="C170" s="9">
        <f t="shared" si="15"/>
        <v>0.6</v>
      </c>
      <c r="D170" s="9">
        <v>23.6</v>
      </c>
      <c r="E170" s="9">
        <f t="shared" si="16"/>
        <v>59.099989467097103</v>
      </c>
      <c r="F170" s="9">
        <v>28.7</v>
      </c>
      <c r="G170" s="9">
        <f t="shared" si="17"/>
        <v>59.729951543419517</v>
      </c>
      <c r="H170" s="9">
        <v>17.399999999999999</v>
      </c>
      <c r="I170" s="9">
        <f t="shared" si="18"/>
        <v>55.657850352132421</v>
      </c>
      <c r="J170" s="9">
        <v>0</v>
      </c>
      <c r="K170" s="9">
        <f t="shared" si="19"/>
        <v>47.055956573373379</v>
      </c>
      <c r="L170" s="6">
        <f t="shared" ca="1" si="20"/>
        <v>146</v>
      </c>
    </row>
    <row r="171" spans="1:12" ht="18.25" customHeight="1">
      <c r="A171" s="7">
        <v>43634</v>
      </c>
      <c r="B171" s="8">
        <f t="shared" si="14"/>
        <v>3</v>
      </c>
      <c r="C171" s="9">
        <f t="shared" si="15"/>
        <v>0.8</v>
      </c>
      <c r="D171" s="9">
        <v>23.4</v>
      </c>
      <c r="E171" s="9">
        <f t="shared" si="16"/>
        <v>58.843839536080637</v>
      </c>
      <c r="F171" s="9">
        <v>27.7</v>
      </c>
      <c r="G171" s="9">
        <f t="shared" si="17"/>
        <v>58.475604666243626</v>
      </c>
      <c r="H171" s="9">
        <v>20</v>
      </c>
      <c r="I171" s="9">
        <f t="shared" si="18"/>
        <v>58.873192578717052</v>
      </c>
      <c r="J171" s="9">
        <v>0</v>
      </c>
      <c r="K171" s="9">
        <f t="shared" si="19"/>
        <v>47.055956573373379</v>
      </c>
      <c r="L171" s="6">
        <f t="shared" ca="1" si="20"/>
        <v>173</v>
      </c>
    </row>
    <row r="172" spans="1:12" ht="18.25" customHeight="1">
      <c r="A172" s="7">
        <v>43635</v>
      </c>
      <c r="B172" s="8">
        <f t="shared" si="14"/>
        <v>4</v>
      </c>
      <c r="C172" s="9">
        <f t="shared" si="15"/>
        <v>1</v>
      </c>
      <c r="D172" s="9">
        <v>23.5</v>
      </c>
      <c r="E172" s="9">
        <f t="shared" si="16"/>
        <v>58.97191450158887</v>
      </c>
      <c r="F172" s="9">
        <v>28.6</v>
      </c>
      <c r="G172" s="9">
        <f t="shared" si="17"/>
        <v>59.604516855701931</v>
      </c>
      <c r="H172" s="9">
        <v>18.8</v>
      </c>
      <c r="I172" s="9">
        <f t="shared" si="18"/>
        <v>57.38918847413953</v>
      </c>
      <c r="J172" s="9">
        <v>0</v>
      </c>
      <c r="K172" s="9">
        <f t="shared" si="19"/>
        <v>47.055956573373379</v>
      </c>
      <c r="L172" s="6">
        <f t="shared" ca="1" si="20"/>
        <v>199</v>
      </c>
    </row>
    <row r="173" spans="1:12" ht="18.25" customHeight="1">
      <c r="A173" s="7">
        <v>43636</v>
      </c>
      <c r="B173" s="8">
        <f t="shared" si="14"/>
        <v>5</v>
      </c>
      <c r="C173" s="9">
        <f t="shared" si="15"/>
        <v>0.8</v>
      </c>
      <c r="D173" s="9">
        <v>24.1</v>
      </c>
      <c r="E173" s="9">
        <f t="shared" si="16"/>
        <v>59.740364294638255</v>
      </c>
      <c r="F173" s="9">
        <v>29.1</v>
      </c>
      <c r="G173" s="9">
        <f t="shared" si="17"/>
        <v>60.231690294289884</v>
      </c>
      <c r="H173" s="9">
        <v>21.1</v>
      </c>
      <c r="I173" s="9">
        <f t="shared" si="18"/>
        <v>60.233529674579785</v>
      </c>
      <c r="J173" s="9">
        <v>0</v>
      </c>
      <c r="K173" s="9">
        <f t="shared" si="19"/>
        <v>47.055956573373379</v>
      </c>
      <c r="L173" s="6">
        <f t="shared" ca="1" si="20"/>
        <v>166</v>
      </c>
    </row>
    <row r="174" spans="1:12" ht="18.25" customHeight="1">
      <c r="A174" s="7">
        <v>43637</v>
      </c>
      <c r="B174" s="8">
        <f t="shared" si="14"/>
        <v>6</v>
      </c>
      <c r="C174" s="9">
        <f t="shared" si="15"/>
        <v>0.8</v>
      </c>
      <c r="D174" s="9">
        <v>24.6</v>
      </c>
      <c r="E174" s="9">
        <f t="shared" si="16"/>
        <v>60.380739122179406</v>
      </c>
      <c r="F174" s="9">
        <v>29.5</v>
      </c>
      <c r="G174" s="9">
        <f t="shared" si="17"/>
        <v>60.733429045160243</v>
      </c>
      <c r="H174" s="9">
        <v>22.3</v>
      </c>
      <c r="I174" s="9">
        <f t="shared" si="18"/>
        <v>61.717533779157307</v>
      </c>
      <c r="J174" s="9">
        <v>0</v>
      </c>
      <c r="K174" s="9">
        <f t="shared" si="19"/>
        <v>47.055956573373379</v>
      </c>
      <c r="L174" s="6">
        <f t="shared" ca="1" si="20"/>
        <v>176</v>
      </c>
    </row>
    <row r="175" spans="1:12" ht="18.25" customHeight="1">
      <c r="A175" s="7">
        <v>43638</v>
      </c>
      <c r="B175" s="8">
        <f t="shared" si="14"/>
        <v>7</v>
      </c>
      <c r="C175" s="9">
        <f t="shared" si="15"/>
        <v>1.2</v>
      </c>
      <c r="D175" s="9">
        <v>22.2</v>
      </c>
      <c r="E175" s="9">
        <f t="shared" si="16"/>
        <v>57.306939949981881</v>
      </c>
      <c r="F175" s="9">
        <v>25.3</v>
      </c>
      <c r="G175" s="9">
        <f t="shared" si="17"/>
        <v>55.465172161021464</v>
      </c>
      <c r="H175" s="9">
        <v>20.6</v>
      </c>
      <c r="I175" s="9">
        <f t="shared" si="18"/>
        <v>59.615194631005821</v>
      </c>
      <c r="J175" s="9">
        <v>6</v>
      </c>
      <c r="K175" s="9">
        <f t="shared" si="19"/>
        <v>50.496434217083248</v>
      </c>
      <c r="L175" s="6">
        <f t="shared" ca="1" si="20"/>
        <v>206</v>
      </c>
    </row>
    <row r="176" spans="1:12" ht="18.25" customHeight="1">
      <c r="A176" s="7">
        <v>43639</v>
      </c>
      <c r="B176" s="8">
        <f t="shared" si="14"/>
        <v>1</v>
      </c>
      <c r="C176" s="9">
        <f t="shared" si="15"/>
        <v>1.5</v>
      </c>
      <c r="D176" s="9">
        <v>21.4</v>
      </c>
      <c r="E176" s="9">
        <f t="shared" si="16"/>
        <v>56.282340225916037</v>
      </c>
      <c r="F176" s="9">
        <v>24</v>
      </c>
      <c r="G176" s="9">
        <f t="shared" si="17"/>
        <v>53.8345212206928</v>
      </c>
      <c r="H176" s="9">
        <v>19.600000000000001</v>
      </c>
      <c r="I176" s="9">
        <f t="shared" si="18"/>
        <v>58.378524543857878</v>
      </c>
      <c r="J176" s="9">
        <v>0</v>
      </c>
      <c r="K176" s="9">
        <f t="shared" si="19"/>
        <v>47.055956573373379</v>
      </c>
      <c r="L176" s="6">
        <f t="shared" ca="1" si="20"/>
        <v>267</v>
      </c>
    </row>
    <row r="177" spans="1:12" ht="18.25" customHeight="1">
      <c r="A177" s="7">
        <v>43640</v>
      </c>
      <c r="B177" s="8">
        <f t="shared" si="14"/>
        <v>2</v>
      </c>
      <c r="C177" s="9">
        <f t="shared" si="15"/>
        <v>0.6</v>
      </c>
      <c r="D177" s="9">
        <v>19.100000000000001</v>
      </c>
      <c r="E177" s="9">
        <f t="shared" si="16"/>
        <v>53.336616019226746</v>
      </c>
      <c r="F177" s="9">
        <v>21</v>
      </c>
      <c r="G177" s="9">
        <f t="shared" si="17"/>
        <v>50.071480589165098</v>
      </c>
      <c r="H177" s="9">
        <v>17.8</v>
      </c>
      <c r="I177" s="9">
        <f t="shared" si="18"/>
        <v>56.152518386991595</v>
      </c>
      <c r="J177" s="9">
        <v>25.5</v>
      </c>
      <c r="K177" s="9">
        <f t="shared" si="19"/>
        <v>61.677986559140322</v>
      </c>
      <c r="L177" s="6">
        <f t="shared" ca="1" si="20"/>
        <v>105</v>
      </c>
    </row>
    <row r="178" spans="1:12" ht="18.25" customHeight="1">
      <c r="A178" s="7">
        <v>43641</v>
      </c>
      <c r="B178" s="8">
        <f t="shared" si="14"/>
        <v>3</v>
      </c>
      <c r="C178" s="9">
        <f t="shared" si="15"/>
        <v>0.8</v>
      </c>
      <c r="D178" s="9">
        <v>22.3</v>
      </c>
      <c r="E178" s="9">
        <f t="shared" si="16"/>
        <v>57.435014915490115</v>
      </c>
      <c r="F178" s="9">
        <v>27.3</v>
      </c>
      <c r="G178" s="9">
        <f t="shared" si="17"/>
        <v>57.973865915373267</v>
      </c>
      <c r="H178" s="9">
        <v>17.2</v>
      </c>
      <c r="I178" s="9">
        <f t="shared" si="18"/>
        <v>55.410516334702834</v>
      </c>
      <c r="J178" s="9">
        <v>0</v>
      </c>
      <c r="K178" s="9">
        <f t="shared" si="19"/>
        <v>47.055956573373379</v>
      </c>
      <c r="L178" s="6">
        <f t="shared" ca="1" si="20"/>
        <v>166</v>
      </c>
    </row>
    <row r="179" spans="1:12" ht="18.25" customHeight="1">
      <c r="A179" s="7">
        <v>43642</v>
      </c>
      <c r="B179" s="8">
        <f t="shared" si="14"/>
        <v>4</v>
      </c>
      <c r="C179" s="9">
        <f t="shared" si="15"/>
        <v>1</v>
      </c>
      <c r="D179" s="9">
        <v>24.7</v>
      </c>
      <c r="E179" s="9">
        <f t="shared" si="16"/>
        <v>60.508814087687632</v>
      </c>
      <c r="F179" s="9">
        <v>28.9</v>
      </c>
      <c r="G179" s="9">
        <f t="shared" si="17"/>
        <v>59.980820918854704</v>
      </c>
      <c r="H179" s="9">
        <v>20.399999999999999</v>
      </c>
      <c r="I179" s="9">
        <f t="shared" si="18"/>
        <v>59.367860613576227</v>
      </c>
      <c r="J179" s="9">
        <v>0</v>
      </c>
      <c r="K179" s="9">
        <f t="shared" si="19"/>
        <v>47.055956573373379</v>
      </c>
      <c r="L179" s="6">
        <f t="shared" ca="1" si="20"/>
        <v>189</v>
      </c>
    </row>
    <row r="180" spans="1:12" ht="18.25" customHeight="1">
      <c r="A180" s="7">
        <v>43643</v>
      </c>
      <c r="B180" s="8">
        <f t="shared" si="14"/>
        <v>5</v>
      </c>
      <c r="C180" s="9">
        <f t="shared" si="15"/>
        <v>0.8</v>
      </c>
      <c r="D180" s="9">
        <v>25.6</v>
      </c>
      <c r="E180" s="9">
        <f t="shared" si="16"/>
        <v>61.66148877726171</v>
      </c>
      <c r="F180" s="9">
        <v>28.7</v>
      </c>
      <c r="G180" s="9">
        <f t="shared" si="17"/>
        <v>59.729951543419517</v>
      </c>
      <c r="H180" s="9">
        <v>22.8</v>
      </c>
      <c r="I180" s="9">
        <f t="shared" si="18"/>
        <v>62.335868822731271</v>
      </c>
      <c r="J180" s="9">
        <v>2</v>
      </c>
      <c r="K180" s="9">
        <f t="shared" si="19"/>
        <v>48.202782454610002</v>
      </c>
      <c r="L180" s="6">
        <f t="shared" ca="1" si="20"/>
        <v>174</v>
      </c>
    </row>
    <row r="181" spans="1:12" ht="18.25" customHeight="1">
      <c r="A181" s="7">
        <v>43644</v>
      </c>
      <c r="B181" s="8">
        <f t="shared" si="14"/>
        <v>6</v>
      </c>
      <c r="C181" s="9">
        <f t="shared" si="15"/>
        <v>0.8</v>
      </c>
      <c r="D181" s="9">
        <v>25.2</v>
      </c>
      <c r="E181" s="9">
        <f t="shared" si="16"/>
        <v>61.149188915228784</v>
      </c>
      <c r="F181" s="9">
        <v>30.7</v>
      </c>
      <c r="G181" s="9">
        <f t="shared" si="17"/>
        <v>62.23864529777132</v>
      </c>
      <c r="H181" s="9">
        <v>21.4</v>
      </c>
      <c r="I181" s="9">
        <f t="shared" si="18"/>
        <v>60.604530700724162</v>
      </c>
      <c r="J181" s="9">
        <v>3.5</v>
      </c>
      <c r="K181" s="9">
        <f t="shared" si="19"/>
        <v>49.062901865537469</v>
      </c>
      <c r="L181" s="6">
        <f t="shared" ca="1" si="20"/>
        <v>169</v>
      </c>
    </row>
    <row r="182" spans="1:12" ht="18.25" customHeight="1">
      <c r="A182" s="7">
        <v>43645</v>
      </c>
      <c r="B182" s="8">
        <f t="shared" si="14"/>
        <v>7</v>
      </c>
      <c r="C182" s="9">
        <f t="shared" si="15"/>
        <v>1.2</v>
      </c>
      <c r="D182" s="9">
        <v>20.2</v>
      </c>
      <c r="E182" s="9">
        <f t="shared" si="16"/>
        <v>54.745440639817275</v>
      </c>
      <c r="F182" s="9">
        <v>21.5</v>
      </c>
      <c r="G182" s="9">
        <f t="shared" si="17"/>
        <v>50.698654027753051</v>
      </c>
      <c r="H182" s="9">
        <v>19</v>
      </c>
      <c r="I182" s="9">
        <f t="shared" si="18"/>
        <v>57.636522491569117</v>
      </c>
      <c r="J182" s="9">
        <v>3</v>
      </c>
      <c r="K182" s="9">
        <f t="shared" si="19"/>
        <v>48.776195395228314</v>
      </c>
      <c r="L182" s="6">
        <f t="shared" ca="1" si="20"/>
        <v>189</v>
      </c>
    </row>
    <row r="183" spans="1:12" ht="18.25" customHeight="1">
      <c r="A183" s="7">
        <v>43646</v>
      </c>
      <c r="B183" s="8">
        <f t="shared" si="14"/>
        <v>1</v>
      </c>
      <c r="C183" s="9">
        <f t="shared" si="15"/>
        <v>1.5</v>
      </c>
      <c r="D183" s="9">
        <v>21.6</v>
      </c>
      <c r="E183" s="9">
        <f t="shared" si="16"/>
        <v>56.538490156932497</v>
      </c>
      <c r="F183" s="9">
        <v>23.6</v>
      </c>
      <c r="G183" s="9">
        <f t="shared" si="17"/>
        <v>53.33278246982244</v>
      </c>
      <c r="H183" s="9">
        <v>20.3</v>
      </c>
      <c r="I183" s="9">
        <f t="shared" si="18"/>
        <v>59.244193604861437</v>
      </c>
      <c r="J183" s="9">
        <v>5.5</v>
      </c>
      <c r="K183" s="9">
        <f t="shared" si="19"/>
        <v>50.209727746774092</v>
      </c>
      <c r="L183" s="6">
        <f t="shared" ca="1" si="20"/>
        <v>233</v>
      </c>
    </row>
    <row r="184" spans="1:12" ht="18.25" customHeight="1">
      <c r="A184" s="7">
        <v>43647</v>
      </c>
      <c r="B184" s="8">
        <f t="shared" si="14"/>
        <v>2</v>
      </c>
      <c r="C184" s="9">
        <f t="shared" si="15"/>
        <v>0.6</v>
      </c>
      <c r="D184" s="9">
        <v>22.7</v>
      </c>
      <c r="E184" s="9">
        <f t="shared" si="16"/>
        <v>57.947314777523033</v>
      </c>
      <c r="F184" s="9">
        <v>24.3</v>
      </c>
      <c r="G184" s="9">
        <f t="shared" si="17"/>
        <v>54.210825283845566</v>
      </c>
      <c r="H184" s="9">
        <v>21</v>
      </c>
      <c r="I184" s="9">
        <f t="shared" si="18"/>
        <v>60.109862665864988</v>
      </c>
      <c r="J184" s="9">
        <v>1.5</v>
      </c>
      <c r="K184" s="9">
        <f t="shared" si="19"/>
        <v>47.916075984300846</v>
      </c>
      <c r="L184" s="6">
        <f t="shared" ca="1" si="20"/>
        <v>152</v>
      </c>
    </row>
    <row r="185" spans="1:12" ht="18.25" customHeight="1">
      <c r="A185" s="7">
        <v>43648</v>
      </c>
      <c r="B185" s="8">
        <f t="shared" si="14"/>
        <v>3</v>
      </c>
      <c r="C185" s="9">
        <f t="shared" si="15"/>
        <v>0.8</v>
      </c>
      <c r="D185" s="9">
        <v>23.8</v>
      </c>
      <c r="E185" s="9">
        <f t="shared" si="16"/>
        <v>59.356139398113562</v>
      </c>
      <c r="F185" s="9">
        <v>28.1</v>
      </c>
      <c r="G185" s="9">
        <f t="shared" si="17"/>
        <v>58.977343417113985</v>
      </c>
      <c r="H185" s="9">
        <v>21.5</v>
      </c>
      <c r="I185" s="9">
        <f t="shared" si="18"/>
        <v>60.728197709438959</v>
      </c>
      <c r="J185" s="9">
        <v>0.5</v>
      </c>
      <c r="K185" s="9">
        <f t="shared" si="19"/>
        <v>47.342663043682535</v>
      </c>
      <c r="L185" s="6">
        <f t="shared" ca="1" si="20"/>
        <v>184</v>
      </c>
    </row>
    <row r="186" spans="1:12" ht="18.25" customHeight="1">
      <c r="A186" s="7">
        <v>43649</v>
      </c>
      <c r="B186" s="8">
        <f t="shared" si="14"/>
        <v>4</v>
      </c>
      <c r="C186" s="9">
        <f t="shared" si="15"/>
        <v>1</v>
      </c>
      <c r="D186" s="9">
        <v>24.9</v>
      </c>
      <c r="E186" s="9">
        <f t="shared" si="16"/>
        <v>60.764964018704092</v>
      </c>
      <c r="F186" s="9">
        <v>29.1</v>
      </c>
      <c r="G186" s="9">
        <f t="shared" si="17"/>
        <v>60.231690294289884</v>
      </c>
      <c r="H186" s="9">
        <v>22.2</v>
      </c>
      <c r="I186" s="9">
        <f t="shared" si="18"/>
        <v>61.59386677044251</v>
      </c>
      <c r="J186" s="9">
        <v>1</v>
      </c>
      <c r="K186" s="9">
        <f t="shared" si="19"/>
        <v>47.629369513991691</v>
      </c>
      <c r="L186" s="6">
        <f t="shared" ca="1" si="20"/>
        <v>198</v>
      </c>
    </row>
    <row r="187" spans="1:12" ht="18.25" customHeight="1">
      <c r="A187" s="7">
        <v>43650</v>
      </c>
      <c r="B187" s="8">
        <f t="shared" si="14"/>
        <v>5</v>
      </c>
      <c r="C187" s="9">
        <f t="shared" si="15"/>
        <v>0.8</v>
      </c>
      <c r="D187" s="9">
        <v>22.7</v>
      </c>
      <c r="E187" s="9">
        <f t="shared" si="16"/>
        <v>57.947314777523033</v>
      </c>
      <c r="F187" s="9">
        <v>25.2</v>
      </c>
      <c r="G187" s="9">
        <f t="shared" si="17"/>
        <v>55.339737473303877</v>
      </c>
      <c r="H187" s="9">
        <v>19.899999999999999</v>
      </c>
      <c r="I187" s="9">
        <f t="shared" si="18"/>
        <v>58.749525570002262</v>
      </c>
      <c r="J187" s="9">
        <v>10.5</v>
      </c>
      <c r="K187" s="9">
        <f t="shared" si="19"/>
        <v>53.07679244986565</v>
      </c>
      <c r="L187" s="6">
        <f t="shared" ca="1" si="20"/>
        <v>151</v>
      </c>
    </row>
    <row r="188" spans="1:12" ht="18.25" customHeight="1">
      <c r="A188" s="7">
        <v>43651</v>
      </c>
      <c r="B188" s="8">
        <f t="shared" si="14"/>
        <v>6</v>
      </c>
      <c r="C188" s="9">
        <f t="shared" si="15"/>
        <v>0.8</v>
      </c>
      <c r="D188" s="9">
        <v>21.9</v>
      </c>
      <c r="E188" s="9">
        <f t="shared" si="16"/>
        <v>56.922715053457189</v>
      </c>
      <c r="F188" s="9">
        <v>24.5</v>
      </c>
      <c r="G188" s="9">
        <f t="shared" si="17"/>
        <v>54.461694659280745</v>
      </c>
      <c r="H188" s="9">
        <v>19</v>
      </c>
      <c r="I188" s="9">
        <f t="shared" si="18"/>
        <v>57.636522491569117</v>
      </c>
      <c r="J188" s="9">
        <v>4.5</v>
      </c>
      <c r="K188" s="9">
        <f t="shared" si="19"/>
        <v>49.636314806155781</v>
      </c>
      <c r="L188" s="6">
        <f t="shared" ca="1" si="20"/>
        <v>165</v>
      </c>
    </row>
    <row r="189" spans="1:12" ht="18.25" customHeight="1">
      <c r="A189" s="7">
        <v>43652</v>
      </c>
      <c r="B189" s="8">
        <f t="shared" si="14"/>
        <v>7</v>
      </c>
      <c r="C189" s="9">
        <f t="shared" si="15"/>
        <v>1.2</v>
      </c>
      <c r="D189" s="9">
        <v>21</v>
      </c>
      <c r="E189" s="9">
        <f t="shared" si="16"/>
        <v>55.770040363883119</v>
      </c>
      <c r="F189" s="9">
        <v>23.7</v>
      </c>
      <c r="G189" s="9">
        <f t="shared" si="17"/>
        <v>53.458217157540027</v>
      </c>
      <c r="H189" s="9">
        <v>19.2</v>
      </c>
      <c r="I189" s="9">
        <f t="shared" si="18"/>
        <v>57.883856508998704</v>
      </c>
      <c r="J189" s="9">
        <v>14.5</v>
      </c>
      <c r="K189" s="9">
        <f t="shared" si="19"/>
        <v>55.370444212338896</v>
      </c>
      <c r="L189" s="6">
        <f t="shared" ca="1" si="20"/>
        <v>184</v>
      </c>
    </row>
    <row r="190" spans="1:12" ht="18.25" customHeight="1">
      <c r="A190" s="7">
        <v>43653</v>
      </c>
      <c r="B190" s="8">
        <f t="shared" si="14"/>
        <v>1</v>
      </c>
      <c r="C190" s="9">
        <f t="shared" si="15"/>
        <v>1.5</v>
      </c>
      <c r="D190" s="9">
        <v>19.2</v>
      </c>
      <c r="E190" s="9">
        <f t="shared" si="16"/>
        <v>53.464690984734972</v>
      </c>
      <c r="F190" s="9">
        <v>20.8</v>
      </c>
      <c r="G190" s="9">
        <f t="shared" si="17"/>
        <v>49.820611213729919</v>
      </c>
      <c r="H190" s="9">
        <v>17.899999999999999</v>
      </c>
      <c r="I190" s="9">
        <f t="shared" si="18"/>
        <v>56.276185395706392</v>
      </c>
      <c r="J190" s="9">
        <v>22.5</v>
      </c>
      <c r="K190" s="9">
        <f t="shared" si="19"/>
        <v>59.957747737285388</v>
      </c>
      <c r="L190" s="6">
        <f t="shared" ca="1" si="20"/>
        <v>211</v>
      </c>
    </row>
    <row r="191" spans="1:12" ht="18.25" customHeight="1">
      <c r="A191" s="7">
        <v>43654</v>
      </c>
      <c r="B191" s="8">
        <f t="shared" si="14"/>
        <v>2</v>
      </c>
      <c r="C191" s="9">
        <f t="shared" si="15"/>
        <v>0.6</v>
      </c>
      <c r="D191" s="9">
        <v>20.3</v>
      </c>
      <c r="E191" s="9">
        <f t="shared" si="16"/>
        <v>54.873515605325508</v>
      </c>
      <c r="F191" s="9">
        <v>24.8</v>
      </c>
      <c r="G191" s="9">
        <f t="shared" si="17"/>
        <v>54.837998722433518</v>
      </c>
      <c r="H191" s="9">
        <v>17.7</v>
      </c>
      <c r="I191" s="9">
        <f t="shared" si="18"/>
        <v>56.028851378276805</v>
      </c>
      <c r="J191" s="9">
        <v>0</v>
      </c>
      <c r="K191" s="9">
        <f t="shared" si="19"/>
        <v>47.055956573373379</v>
      </c>
      <c r="L191" s="6">
        <f t="shared" ca="1" si="20"/>
        <v>130</v>
      </c>
    </row>
    <row r="192" spans="1:12" ht="18.25" customHeight="1">
      <c r="A192" s="7">
        <v>43655</v>
      </c>
      <c r="B192" s="8">
        <f t="shared" si="14"/>
        <v>3</v>
      </c>
      <c r="C192" s="9">
        <f t="shared" si="15"/>
        <v>0.8</v>
      </c>
      <c r="D192" s="9">
        <v>19.7</v>
      </c>
      <c r="E192" s="9">
        <f t="shared" si="16"/>
        <v>54.105065812276123</v>
      </c>
      <c r="F192" s="9">
        <v>21.8</v>
      </c>
      <c r="G192" s="9">
        <f t="shared" si="17"/>
        <v>51.074958090905817</v>
      </c>
      <c r="H192" s="9">
        <v>18.5</v>
      </c>
      <c r="I192" s="9">
        <f t="shared" si="18"/>
        <v>57.018187447995153</v>
      </c>
      <c r="J192" s="9">
        <v>0</v>
      </c>
      <c r="K192" s="9">
        <f t="shared" si="19"/>
        <v>47.055956573373379</v>
      </c>
      <c r="L192" s="6">
        <f t="shared" ca="1" si="20"/>
        <v>161</v>
      </c>
    </row>
    <row r="193" spans="1:12" ht="18.25" customHeight="1">
      <c r="A193" s="7">
        <v>43656</v>
      </c>
      <c r="B193" s="8">
        <f t="shared" si="14"/>
        <v>4</v>
      </c>
      <c r="C193" s="9">
        <f t="shared" si="15"/>
        <v>1</v>
      </c>
      <c r="D193" s="9">
        <v>21</v>
      </c>
      <c r="E193" s="9">
        <f t="shared" si="16"/>
        <v>55.770040363883119</v>
      </c>
      <c r="F193" s="9">
        <v>24.8</v>
      </c>
      <c r="G193" s="9">
        <f t="shared" si="17"/>
        <v>54.837998722433518</v>
      </c>
      <c r="H193" s="9">
        <v>18.5</v>
      </c>
      <c r="I193" s="9">
        <f t="shared" si="18"/>
        <v>57.018187447995153</v>
      </c>
      <c r="J193" s="9">
        <v>0</v>
      </c>
      <c r="K193" s="9">
        <f t="shared" si="19"/>
        <v>47.055956573373379</v>
      </c>
      <c r="L193" s="6">
        <f t="shared" ca="1" si="20"/>
        <v>198</v>
      </c>
    </row>
    <row r="194" spans="1:12" ht="18.25" customHeight="1">
      <c r="A194" s="7">
        <v>43657</v>
      </c>
      <c r="B194" s="8">
        <f t="shared" si="14"/>
        <v>5</v>
      </c>
      <c r="C194" s="9">
        <f t="shared" si="15"/>
        <v>0.8</v>
      </c>
      <c r="D194" s="9">
        <v>19.899999999999999</v>
      </c>
      <c r="E194" s="9">
        <f t="shared" si="16"/>
        <v>54.361215743292583</v>
      </c>
      <c r="F194" s="9">
        <v>23.6</v>
      </c>
      <c r="G194" s="9">
        <f t="shared" si="17"/>
        <v>53.33278246982244</v>
      </c>
      <c r="H194" s="9">
        <v>17.899999999999999</v>
      </c>
      <c r="I194" s="9">
        <f t="shared" si="18"/>
        <v>56.276185395706392</v>
      </c>
      <c r="J194" s="9">
        <v>2</v>
      </c>
      <c r="K194" s="9">
        <f t="shared" si="19"/>
        <v>48.202782454610002</v>
      </c>
      <c r="L194" s="6">
        <f t="shared" ca="1" si="20"/>
        <v>148</v>
      </c>
    </row>
    <row r="195" spans="1:12" ht="18.25" customHeight="1">
      <c r="A195" s="7">
        <v>43658</v>
      </c>
      <c r="B195" s="8">
        <f t="shared" ref="B195:B258" si="21">WEEKDAY($A195)</f>
        <v>6</v>
      </c>
      <c r="C195" s="9">
        <f t="shared" ref="C195:C258" si="22">_xlfn.IFS(B195=1,1.5,B195=2,0.6,B195=3,0.8,B195=4,1,B195=5,0.8,B195=6,0.8,B195=7,1.2)</f>
        <v>0.8</v>
      </c>
      <c r="D195" s="9">
        <v>20.2</v>
      </c>
      <c r="E195" s="9">
        <f t="shared" ref="E195:E258" si="23">(((D195-AVERAGE(D$3:D$367))*10)/STDEVP(D$3:D$367))+50</f>
        <v>54.745440639817275</v>
      </c>
      <c r="F195" s="9">
        <v>21.9</v>
      </c>
      <c r="G195" s="9">
        <f t="shared" ref="G195:G258" si="24">(((F195-AVERAGE(F$3:F$367))*10)/STDEVP(F$3:F$367))+50</f>
        <v>51.200392778623403</v>
      </c>
      <c r="H195" s="9">
        <v>18.2</v>
      </c>
      <c r="I195" s="9">
        <f t="shared" ref="I195:I258" si="25">(((H195-AVERAGE(H$3:H$367))*10)/STDEVP(H$3:H$367))+50</f>
        <v>56.647186421850769</v>
      </c>
      <c r="J195" s="9">
        <v>12.5</v>
      </c>
      <c r="K195" s="9">
        <f t="shared" ref="K195:K258" si="26">(((J195-AVERAGE(J$3:J$367))*10)/STDEVP(J$3:J$367))+50</f>
        <v>54.223618331102273</v>
      </c>
      <c r="L195" s="6">
        <f t="shared" ca="1" si="20"/>
        <v>154</v>
      </c>
    </row>
    <row r="196" spans="1:12" ht="18.25" customHeight="1">
      <c r="A196" s="7">
        <v>43659</v>
      </c>
      <c r="B196" s="8">
        <f t="shared" si="21"/>
        <v>7</v>
      </c>
      <c r="C196" s="9">
        <f t="shared" si="22"/>
        <v>1.2</v>
      </c>
      <c r="D196" s="9">
        <v>23.4</v>
      </c>
      <c r="E196" s="9">
        <f t="shared" si="23"/>
        <v>58.843839536080637</v>
      </c>
      <c r="F196" s="9">
        <v>27.3</v>
      </c>
      <c r="G196" s="9">
        <f t="shared" si="24"/>
        <v>57.973865915373267</v>
      </c>
      <c r="H196" s="9">
        <v>20</v>
      </c>
      <c r="I196" s="9">
        <f t="shared" si="25"/>
        <v>58.873192578717052</v>
      </c>
      <c r="J196" s="9">
        <v>0.5</v>
      </c>
      <c r="K196" s="9">
        <f t="shared" si="26"/>
        <v>47.342663043682535</v>
      </c>
      <c r="L196" s="6">
        <f t="shared" ref="L196:L259" ca="1" si="27">MAX(INT(RAND()*30*C196+E196*30/50+G196*50/50+I196*10/50+I196*50/50-K196*90/50+100*C196),0)</f>
        <v>208</v>
      </c>
    </row>
    <row r="197" spans="1:12" ht="18.25" customHeight="1">
      <c r="A197" s="7">
        <v>43660</v>
      </c>
      <c r="B197" s="8">
        <f t="shared" si="21"/>
        <v>1</v>
      </c>
      <c r="C197" s="9">
        <f t="shared" si="22"/>
        <v>1.5</v>
      </c>
      <c r="D197" s="9">
        <v>21.3</v>
      </c>
      <c r="E197" s="9">
        <f t="shared" si="23"/>
        <v>56.154265260407811</v>
      </c>
      <c r="F197" s="9">
        <v>22.5</v>
      </c>
      <c r="G197" s="9">
        <f t="shared" si="24"/>
        <v>51.953000904928949</v>
      </c>
      <c r="H197" s="9">
        <v>20.2</v>
      </c>
      <c r="I197" s="9">
        <f t="shared" si="25"/>
        <v>59.12052659614664</v>
      </c>
      <c r="J197" s="9">
        <v>39</v>
      </c>
      <c r="K197" s="9">
        <f t="shared" si="26"/>
        <v>69.419061257487527</v>
      </c>
      <c r="L197" s="6">
        <f t="shared" ca="1" si="27"/>
        <v>199</v>
      </c>
    </row>
    <row r="198" spans="1:12" ht="18.25" customHeight="1">
      <c r="A198" s="7">
        <v>43661</v>
      </c>
      <c r="B198" s="8">
        <f t="shared" si="21"/>
        <v>2</v>
      </c>
      <c r="C198" s="9">
        <f t="shared" si="22"/>
        <v>0.6</v>
      </c>
      <c r="D198" s="9">
        <v>21.3</v>
      </c>
      <c r="E198" s="9">
        <f t="shared" si="23"/>
        <v>56.154265260407811</v>
      </c>
      <c r="F198" s="9">
        <v>25</v>
      </c>
      <c r="G198" s="9">
        <f t="shared" si="24"/>
        <v>55.088868097868698</v>
      </c>
      <c r="H198" s="9">
        <v>19.399999999999999</v>
      </c>
      <c r="I198" s="9">
        <f t="shared" si="25"/>
        <v>58.131190526428291</v>
      </c>
      <c r="J198" s="9">
        <v>7</v>
      </c>
      <c r="K198" s="9">
        <f t="shared" si="26"/>
        <v>51.06984715770156</v>
      </c>
      <c r="L198" s="6">
        <f t="shared" ca="1" si="27"/>
        <v>140</v>
      </c>
    </row>
    <row r="199" spans="1:12" ht="18.25" customHeight="1">
      <c r="A199" s="7">
        <v>43662</v>
      </c>
      <c r="B199" s="8">
        <f t="shared" si="21"/>
        <v>3</v>
      </c>
      <c r="C199" s="9">
        <f t="shared" si="22"/>
        <v>0.8</v>
      </c>
      <c r="D199" s="9">
        <v>20.5</v>
      </c>
      <c r="E199" s="9">
        <f t="shared" si="23"/>
        <v>55.129665536341967</v>
      </c>
      <c r="F199" s="9">
        <v>22.1</v>
      </c>
      <c r="G199" s="9">
        <f t="shared" si="24"/>
        <v>51.45126215405859</v>
      </c>
      <c r="H199" s="9">
        <v>19</v>
      </c>
      <c r="I199" s="9">
        <f t="shared" si="25"/>
        <v>57.636522491569117</v>
      </c>
      <c r="J199" s="9">
        <v>33.5</v>
      </c>
      <c r="K199" s="9">
        <f t="shared" si="26"/>
        <v>66.265290084086814</v>
      </c>
      <c r="L199" s="6">
        <f t="shared" ca="1" si="27"/>
        <v>135</v>
      </c>
    </row>
    <row r="200" spans="1:12" ht="18.25" customHeight="1">
      <c r="A200" s="7">
        <v>43663</v>
      </c>
      <c r="B200" s="8">
        <f t="shared" si="21"/>
        <v>4</v>
      </c>
      <c r="C200" s="9">
        <f t="shared" si="22"/>
        <v>1</v>
      </c>
      <c r="D200" s="9">
        <v>23.9</v>
      </c>
      <c r="E200" s="9">
        <f t="shared" si="23"/>
        <v>59.484214363621788</v>
      </c>
      <c r="F200" s="9">
        <v>28.7</v>
      </c>
      <c r="G200" s="9">
        <f t="shared" si="24"/>
        <v>59.729951543419517</v>
      </c>
      <c r="H200" s="9">
        <v>20.3</v>
      </c>
      <c r="I200" s="9">
        <f t="shared" si="25"/>
        <v>59.244193604861437</v>
      </c>
      <c r="J200" s="9">
        <v>0.5</v>
      </c>
      <c r="K200" s="9">
        <f t="shared" si="26"/>
        <v>47.342663043682535</v>
      </c>
      <c r="L200" s="6">
        <f t="shared" ca="1" si="27"/>
        <v>199</v>
      </c>
    </row>
    <row r="201" spans="1:12" ht="18.25" customHeight="1">
      <c r="A201" s="7">
        <v>43664</v>
      </c>
      <c r="B201" s="8">
        <f t="shared" si="21"/>
        <v>5</v>
      </c>
      <c r="C201" s="9">
        <f t="shared" si="22"/>
        <v>0.8</v>
      </c>
      <c r="D201" s="9">
        <v>25.6</v>
      </c>
      <c r="E201" s="9">
        <f t="shared" si="23"/>
        <v>61.66148877726171</v>
      </c>
      <c r="F201" s="9">
        <v>29.7</v>
      </c>
      <c r="G201" s="9">
        <f t="shared" si="24"/>
        <v>60.984298420595422</v>
      </c>
      <c r="H201" s="9">
        <v>22.2</v>
      </c>
      <c r="I201" s="9">
        <f t="shared" si="25"/>
        <v>61.59386677044251</v>
      </c>
      <c r="J201" s="9">
        <v>9.5</v>
      </c>
      <c r="K201" s="9">
        <f t="shared" si="26"/>
        <v>52.503379509247338</v>
      </c>
      <c r="L201" s="6">
        <f t="shared" ca="1" si="27"/>
        <v>170</v>
      </c>
    </row>
    <row r="202" spans="1:12" ht="18.25" customHeight="1">
      <c r="A202" s="7">
        <v>43665</v>
      </c>
      <c r="B202" s="8">
        <f t="shared" si="21"/>
        <v>6</v>
      </c>
      <c r="C202" s="9">
        <f t="shared" si="22"/>
        <v>0.8</v>
      </c>
      <c r="D202" s="9">
        <v>26.7</v>
      </c>
      <c r="E202" s="9">
        <f t="shared" si="23"/>
        <v>63.070313397852239</v>
      </c>
      <c r="F202" s="9">
        <v>31.4</v>
      </c>
      <c r="G202" s="9">
        <f t="shared" si="24"/>
        <v>63.116688111794446</v>
      </c>
      <c r="H202" s="9">
        <v>23</v>
      </c>
      <c r="I202" s="9">
        <f t="shared" si="25"/>
        <v>62.583202840160858</v>
      </c>
      <c r="J202" s="9">
        <v>3.5</v>
      </c>
      <c r="K202" s="9">
        <f t="shared" si="26"/>
        <v>49.062901865537469</v>
      </c>
      <c r="L202" s="6">
        <f t="shared" ca="1" si="27"/>
        <v>185</v>
      </c>
    </row>
    <row r="203" spans="1:12" ht="18.25" customHeight="1">
      <c r="A203" s="7">
        <v>43666</v>
      </c>
      <c r="B203" s="8">
        <f t="shared" si="21"/>
        <v>7</v>
      </c>
      <c r="C203" s="9">
        <f t="shared" si="22"/>
        <v>1.2</v>
      </c>
      <c r="D203" s="9">
        <v>26.5</v>
      </c>
      <c r="E203" s="9">
        <f t="shared" si="23"/>
        <v>62.81416346683578</v>
      </c>
      <c r="F203" s="9">
        <v>29.5</v>
      </c>
      <c r="G203" s="9">
        <f t="shared" si="24"/>
        <v>60.733429045160243</v>
      </c>
      <c r="H203" s="9">
        <v>24.4</v>
      </c>
      <c r="I203" s="9">
        <f t="shared" si="25"/>
        <v>64.314540962167968</v>
      </c>
      <c r="J203" s="9">
        <v>0</v>
      </c>
      <c r="K203" s="9">
        <f t="shared" si="26"/>
        <v>47.055956573373379</v>
      </c>
      <c r="L203" s="6">
        <f t="shared" ca="1" si="27"/>
        <v>244</v>
      </c>
    </row>
    <row r="204" spans="1:12" ht="18.25" customHeight="1">
      <c r="A204" s="7">
        <v>43667</v>
      </c>
      <c r="B204" s="8">
        <f t="shared" si="21"/>
        <v>1</v>
      </c>
      <c r="C204" s="9">
        <f t="shared" si="22"/>
        <v>1.5</v>
      </c>
      <c r="D204" s="9">
        <v>25</v>
      </c>
      <c r="E204" s="9">
        <f t="shared" si="23"/>
        <v>60.893038984212325</v>
      </c>
      <c r="F204" s="9">
        <v>28.2</v>
      </c>
      <c r="G204" s="9">
        <f t="shared" si="24"/>
        <v>59.102778104831572</v>
      </c>
      <c r="H204" s="9">
        <v>22.7</v>
      </c>
      <c r="I204" s="9">
        <f t="shared" si="25"/>
        <v>62.212201814016481</v>
      </c>
      <c r="J204" s="9">
        <v>0</v>
      </c>
      <c r="K204" s="9">
        <f t="shared" si="26"/>
        <v>47.055956573373379</v>
      </c>
      <c r="L204" s="6">
        <f t="shared" ca="1" si="27"/>
        <v>260</v>
      </c>
    </row>
    <row r="205" spans="1:12" ht="18.25" customHeight="1">
      <c r="A205" s="7">
        <v>43668</v>
      </c>
      <c r="B205" s="8">
        <f t="shared" si="21"/>
        <v>2</v>
      </c>
      <c r="C205" s="9">
        <f t="shared" si="22"/>
        <v>0.6</v>
      </c>
      <c r="D205" s="9">
        <v>22.7</v>
      </c>
      <c r="E205" s="9">
        <f t="shared" si="23"/>
        <v>57.947314777523033</v>
      </c>
      <c r="F205" s="9">
        <v>24</v>
      </c>
      <c r="G205" s="9">
        <f t="shared" si="24"/>
        <v>53.8345212206928</v>
      </c>
      <c r="H205" s="9">
        <v>21.6</v>
      </c>
      <c r="I205" s="9">
        <f t="shared" si="25"/>
        <v>60.851864718153749</v>
      </c>
      <c r="J205" s="9">
        <v>0.5</v>
      </c>
      <c r="K205" s="9">
        <f t="shared" si="26"/>
        <v>47.342663043682535</v>
      </c>
      <c r="L205" s="6">
        <f t="shared" ca="1" si="27"/>
        <v>146</v>
      </c>
    </row>
    <row r="206" spans="1:12" ht="18.25" customHeight="1">
      <c r="A206" s="7">
        <v>43669</v>
      </c>
      <c r="B206" s="8">
        <f t="shared" si="21"/>
        <v>3</v>
      </c>
      <c r="C206" s="9">
        <f t="shared" si="22"/>
        <v>0.8</v>
      </c>
      <c r="D206" s="9">
        <v>24.5</v>
      </c>
      <c r="E206" s="9">
        <f t="shared" si="23"/>
        <v>60.252664156671173</v>
      </c>
      <c r="F206" s="9">
        <v>29.3</v>
      </c>
      <c r="G206" s="9">
        <f t="shared" si="24"/>
        <v>60.482559669725063</v>
      </c>
      <c r="H206" s="9">
        <v>22.4</v>
      </c>
      <c r="I206" s="9">
        <f t="shared" si="25"/>
        <v>61.841200787872097</v>
      </c>
      <c r="J206" s="9">
        <v>4</v>
      </c>
      <c r="K206" s="9">
        <f t="shared" si="26"/>
        <v>49.349608335846625</v>
      </c>
      <c r="L206" s="6">
        <f t="shared" ca="1" si="27"/>
        <v>178</v>
      </c>
    </row>
    <row r="207" spans="1:12" ht="18.25" customHeight="1">
      <c r="A207" s="7">
        <v>43670</v>
      </c>
      <c r="B207" s="8">
        <f t="shared" si="21"/>
        <v>4</v>
      </c>
      <c r="C207" s="9">
        <f t="shared" si="22"/>
        <v>1</v>
      </c>
      <c r="D207" s="9">
        <v>26.8</v>
      </c>
      <c r="E207" s="9">
        <f t="shared" si="23"/>
        <v>63.198388363360472</v>
      </c>
      <c r="F207" s="9">
        <v>31.6</v>
      </c>
      <c r="G207" s="9">
        <f t="shared" si="24"/>
        <v>63.367557487229632</v>
      </c>
      <c r="H207" s="9">
        <v>23.7</v>
      </c>
      <c r="I207" s="9">
        <f t="shared" si="25"/>
        <v>63.448871901164409</v>
      </c>
      <c r="J207" s="9">
        <v>6</v>
      </c>
      <c r="K207" s="9">
        <f t="shared" si="26"/>
        <v>50.496434217083248</v>
      </c>
      <c r="L207" s="6">
        <f t="shared" ca="1" si="27"/>
        <v>210</v>
      </c>
    </row>
    <row r="208" spans="1:12" ht="18.25" customHeight="1">
      <c r="A208" s="7">
        <v>43671</v>
      </c>
      <c r="B208" s="8">
        <f t="shared" si="21"/>
        <v>5</v>
      </c>
      <c r="C208" s="9">
        <f t="shared" si="22"/>
        <v>0.8</v>
      </c>
      <c r="D208" s="9">
        <v>28</v>
      </c>
      <c r="E208" s="9">
        <f t="shared" si="23"/>
        <v>64.735287949459234</v>
      </c>
      <c r="F208" s="9">
        <v>32.4</v>
      </c>
      <c r="G208" s="9">
        <f t="shared" si="24"/>
        <v>64.371034988970351</v>
      </c>
      <c r="H208" s="9">
        <v>24.4</v>
      </c>
      <c r="I208" s="9">
        <f t="shared" si="25"/>
        <v>64.314540962167968</v>
      </c>
      <c r="J208" s="9">
        <v>0</v>
      </c>
      <c r="K208" s="9">
        <f t="shared" si="26"/>
        <v>47.055956573373379</v>
      </c>
      <c r="L208" s="6">
        <f t="shared" ca="1" si="27"/>
        <v>178</v>
      </c>
    </row>
    <row r="209" spans="1:12" ht="18.25" customHeight="1">
      <c r="A209" s="7">
        <v>43672</v>
      </c>
      <c r="B209" s="8">
        <f t="shared" si="21"/>
        <v>6</v>
      </c>
      <c r="C209" s="9">
        <f t="shared" si="22"/>
        <v>0.8</v>
      </c>
      <c r="D209" s="9">
        <v>28.5</v>
      </c>
      <c r="E209" s="9">
        <f t="shared" si="23"/>
        <v>65.375662777000386</v>
      </c>
      <c r="F209" s="9">
        <v>33.1</v>
      </c>
      <c r="G209" s="9">
        <f t="shared" si="24"/>
        <v>65.249077802993483</v>
      </c>
      <c r="H209" s="9">
        <v>25.6</v>
      </c>
      <c r="I209" s="9">
        <f t="shared" si="25"/>
        <v>65.79854506674549</v>
      </c>
      <c r="J209" s="9">
        <v>0.5</v>
      </c>
      <c r="K209" s="9">
        <f t="shared" si="26"/>
        <v>47.342663043682535</v>
      </c>
      <c r="L209" s="6">
        <f t="shared" ca="1" si="27"/>
        <v>190</v>
      </c>
    </row>
    <row r="210" spans="1:12" ht="18.25" customHeight="1">
      <c r="A210" s="7">
        <v>43673</v>
      </c>
      <c r="B210" s="8">
        <f t="shared" si="21"/>
        <v>7</v>
      </c>
      <c r="C210" s="9">
        <f t="shared" si="22"/>
        <v>1.2</v>
      </c>
      <c r="D210" s="9">
        <v>28</v>
      </c>
      <c r="E210" s="9">
        <f t="shared" si="23"/>
        <v>64.735287949459234</v>
      </c>
      <c r="F210" s="9">
        <v>31.4</v>
      </c>
      <c r="G210" s="9">
        <f t="shared" si="24"/>
        <v>63.116688111794446</v>
      </c>
      <c r="H210" s="9">
        <v>25.1</v>
      </c>
      <c r="I210" s="9">
        <f t="shared" si="25"/>
        <v>65.180210023171526</v>
      </c>
      <c r="J210" s="9">
        <v>4</v>
      </c>
      <c r="K210" s="9">
        <f t="shared" si="26"/>
        <v>49.349608335846625</v>
      </c>
      <c r="L210" s="6">
        <f t="shared" ca="1" si="27"/>
        <v>239</v>
      </c>
    </row>
    <row r="211" spans="1:12" ht="18.25" customHeight="1">
      <c r="A211" s="7">
        <v>43674</v>
      </c>
      <c r="B211" s="8">
        <f t="shared" si="21"/>
        <v>1</v>
      </c>
      <c r="C211" s="9">
        <f t="shared" si="22"/>
        <v>1.5</v>
      </c>
      <c r="D211" s="9">
        <v>27.7</v>
      </c>
      <c r="E211" s="9">
        <f t="shared" si="23"/>
        <v>64.351063052934535</v>
      </c>
      <c r="F211" s="9">
        <v>32.299999999999997</v>
      </c>
      <c r="G211" s="9">
        <f t="shared" si="24"/>
        <v>64.24560030125275</v>
      </c>
      <c r="H211" s="9">
        <v>25</v>
      </c>
      <c r="I211" s="9">
        <f t="shared" si="25"/>
        <v>65.056543014456736</v>
      </c>
      <c r="J211" s="9">
        <v>15</v>
      </c>
      <c r="K211" s="9">
        <f t="shared" si="26"/>
        <v>55.657150682648052</v>
      </c>
      <c r="L211" s="6">
        <f t="shared" ca="1" si="27"/>
        <v>231</v>
      </c>
    </row>
    <row r="212" spans="1:12" ht="18.25" customHeight="1">
      <c r="A212" s="7">
        <v>43675</v>
      </c>
      <c r="B212" s="8">
        <f t="shared" si="21"/>
        <v>2</v>
      </c>
      <c r="C212" s="9">
        <f t="shared" si="22"/>
        <v>0.6</v>
      </c>
      <c r="D212" s="9">
        <v>29</v>
      </c>
      <c r="E212" s="9">
        <f t="shared" si="23"/>
        <v>66.016037604541538</v>
      </c>
      <c r="F212" s="9">
        <v>33.700000000000003</v>
      </c>
      <c r="G212" s="9">
        <f t="shared" si="24"/>
        <v>66.001685929299015</v>
      </c>
      <c r="H212" s="9">
        <v>25.3</v>
      </c>
      <c r="I212" s="9">
        <f t="shared" si="25"/>
        <v>65.427544040601106</v>
      </c>
      <c r="J212" s="9">
        <v>0</v>
      </c>
      <c r="K212" s="9">
        <f t="shared" si="26"/>
        <v>47.055956573373379</v>
      </c>
      <c r="L212" s="6">
        <f t="shared" ca="1" si="27"/>
        <v>171</v>
      </c>
    </row>
    <row r="213" spans="1:12" ht="18.25" customHeight="1">
      <c r="A213" s="7">
        <v>43676</v>
      </c>
      <c r="B213" s="8">
        <f t="shared" si="21"/>
        <v>3</v>
      </c>
      <c r="C213" s="9">
        <f t="shared" si="22"/>
        <v>0.8</v>
      </c>
      <c r="D213" s="9">
        <v>29.5</v>
      </c>
      <c r="E213" s="9">
        <f t="shared" si="23"/>
        <v>66.656412432082689</v>
      </c>
      <c r="F213" s="9">
        <v>33.6</v>
      </c>
      <c r="G213" s="9">
        <f t="shared" si="24"/>
        <v>65.876251241581429</v>
      </c>
      <c r="H213" s="9">
        <v>26</v>
      </c>
      <c r="I213" s="9">
        <f t="shared" si="25"/>
        <v>66.293213101604664</v>
      </c>
      <c r="J213" s="9">
        <v>0</v>
      </c>
      <c r="K213" s="9">
        <f t="shared" si="26"/>
        <v>47.055956573373379</v>
      </c>
      <c r="L213" s="6">
        <f t="shared" ca="1" si="27"/>
        <v>200</v>
      </c>
    </row>
    <row r="214" spans="1:12" ht="18.25" customHeight="1">
      <c r="A214" s="7">
        <v>43677</v>
      </c>
      <c r="B214" s="8">
        <f t="shared" si="21"/>
        <v>4</v>
      </c>
      <c r="C214" s="9">
        <f t="shared" si="22"/>
        <v>1</v>
      </c>
      <c r="D214" s="9">
        <v>30</v>
      </c>
      <c r="E214" s="9">
        <f t="shared" si="23"/>
        <v>67.296787259623841</v>
      </c>
      <c r="F214" s="9">
        <v>34.6</v>
      </c>
      <c r="G214" s="9">
        <f t="shared" si="24"/>
        <v>67.130598118757334</v>
      </c>
      <c r="H214" s="9">
        <v>26.5</v>
      </c>
      <c r="I214" s="9">
        <f t="shared" si="25"/>
        <v>66.911548145178628</v>
      </c>
      <c r="J214" s="9">
        <v>0</v>
      </c>
      <c r="K214" s="9">
        <f t="shared" si="26"/>
        <v>47.055956573373379</v>
      </c>
      <c r="L214" s="6">
        <f t="shared" ca="1" si="27"/>
        <v>228</v>
      </c>
    </row>
    <row r="215" spans="1:12" ht="18.25" customHeight="1">
      <c r="A215" s="7">
        <v>43678</v>
      </c>
      <c r="B215" s="8">
        <f t="shared" si="21"/>
        <v>5</v>
      </c>
      <c r="C215" s="9">
        <f t="shared" si="22"/>
        <v>0.8</v>
      </c>
      <c r="D215" s="9">
        <v>30.5</v>
      </c>
      <c r="E215" s="9">
        <f t="shared" si="23"/>
        <v>67.937162087164992</v>
      </c>
      <c r="F215" s="9">
        <v>35</v>
      </c>
      <c r="G215" s="9">
        <f t="shared" si="24"/>
        <v>67.632336869627693</v>
      </c>
      <c r="H215" s="9">
        <v>26.3</v>
      </c>
      <c r="I215" s="9">
        <f t="shared" si="25"/>
        <v>66.664214127749048</v>
      </c>
      <c r="J215" s="9">
        <v>0</v>
      </c>
      <c r="K215" s="9">
        <f t="shared" si="26"/>
        <v>47.055956573373379</v>
      </c>
      <c r="L215" s="6">
        <f t="shared" ca="1" si="27"/>
        <v>186</v>
      </c>
    </row>
    <row r="216" spans="1:12" ht="18.25" customHeight="1">
      <c r="A216" s="7">
        <v>43679</v>
      </c>
      <c r="B216" s="8">
        <f t="shared" si="21"/>
        <v>6</v>
      </c>
      <c r="C216" s="9">
        <f t="shared" si="22"/>
        <v>0.8</v>
      </c>
      <c r="D216" s="9">
        <v>30.2</v>
      </c>
      <c r="E216" s="9">
        <f t="shared" si="23"/>
        <v>67.552937190640293</v>
      </c>
      <c r="F216" s="9">
        <v>35.1</v>
      </c>
      <c r="G216" s="9">
        <f t="shared" si="24"/>
        <v>67.757771557345279</v>
      </c>
      <c r="H216" s="9">
        <v>27.1</v>
      </c>
      <c r="I216" s="9">
        <f t="shared" si="25"/>
        <v>67.653550197467396</v>
      </c>
      <c r="J216" s="9">
        <v>0</v>
      </c>
      <c r="K216" s="9">
        <f t="shared" si="26"/>
        <v>47.055956573373379</v>
      </c>
      <c r="L216" s="6">
        <f t="shared" ca="1" si="27"/>
        <v>201</v>
      </c>
    </row>
    <row r="217" spans="1:12" ht="18.25" customHeight="1">
      <c r="A217" s="7">
        <v>43680</v>
      </c>
      <c r="B217" s="8">
        <f t="shared" si="21"/>
        <v>7</v>
      </c>
      <c r="C217" s="9">
        <f t="shared" si="22"/>
        <v>1.2</v>
      </c>
      <c r="D217" s="9">
        <v>29.4</v>
      </c>
      <c r="E217" s="9">
        <f t="shared" si="23"/>
        <v>66.528337466574456</v>
      </c>
      <c r="F217" s="9">
        <v>33.700000000000003</v>
      </c>
      <c r="G217" s="9">
        <f t="shared" si="24"/>
        <v>66.001685929299015</v>
      </c>
      <c r="H217" s="9">
        <v>25.7</v>
      </c>
      <c r="I217" s="9">
        <f t="shared" si="25"/>
        <v>65.92221207546028</v>
      </c>
      <c r="J217" s="9">
        <v>0</v>
      </c>
      <c r="K217" s="9">
        <f t="shared" si="26"/>
        <v>47.055956573373379</v>
      </c>
      <c r="L217" s="6">
        <f t="shared" ca="1" si="27"/>
        <v>221</v>
      </c>
    </row>
    <row r="218" spans="1:12" ht="18.25" customHeight="1">
      <c r="A218" s="7">
        <v>43681</v>
      </c>
      <c r="B218" s="8">
        <f t="shared" si="21"/>
        <v>1</v>
      </c>
      <c r="C218" s="9">
        <f t="shared" si="22"/>
        <v>1.5</v>
      </c>
      <c r="D218" s="9">
        <v>29.4</v>
      </c>
      <c r="E218" s="9">
        <f t="shared" si="23"/>
        <v>66.528337466574456</v>
      </c>
      <c r="F218" s="9">
        <v>34.299999999999997</v>
      </c>
      <c r="G218" s="9">
        <f t="shared" si="24"/>
        <v>66.754294055604561</v>
      </c>
      <c r="H218" s="9">
        <v>25.3</v>
      </c>
      <c r="I218" s="9">
        <f t="shared" si="25"/>
        <v>65.427544040601106</v>
      </c>
      <c r="J218" s="9">
        <v>0</v>
      </c>
      <c r="K218" s="9">
        <f t="shared" si="26"/>
        <v>47.055956573373379</v>
      </c>
      <c r="L218" s="6">
        <f t="shared" ca="1" si="27"/>
        <v>281</v>
      </c>
    </row>
    <row r="219" spans="1:12" ht="18.25" customHeight="1">
      <c r="A219" s="7">
        <v>43682</v>
      </c>
      <c r="B219" s="8">
        <f t="shared" si="21"/>
        <v>2</v>
      </c>
      <c r="C219" s="9">
        <f t="shared" si="22"/>
        <v>0.6</v>
      </c>
      <c r="D219" s="9">
        <v>29.8</v>
      </c>
      <c r="E219" s="9">
        <f t="shared" si="23"/>
        <v>67.040637328607374</v>
      </c>
      <c r="F219" s="9">
        <v>34.9</v>
      </c>
      <c r="G219" s="9">
        <f t="shared" si="24"/>
        <v>67.506902181910093</v>
      </c>
      <c r="H219" s="9">
        <v>25.1</v>
      </c>
      <c r="I219" s="9">
        <f t="shared" si="25"/>
        <v>65.180210023171526</v>
      </c>
      <c r="J219" s="9">
        <v>0</v>
      </c>
      <c r="K219" s="9">
        <f t="shared" si="26"/>
        <v>47.055956573373379</v>
      </c>
      <c r="L219" s="6">
        <f t="shared" ca="1" si="27"/>
        <v>172</v>
      </c>
    </row>
    <row r="220" spans="1:12" ht="18.25" customHeight="1">
      <c r="A220" s="7">
        <v>43683</v>
      </c>
      <c r="B220" s="8">
        <f t="shared" si="21"/>
        <v>3</v>
      </c>
      <c r="C220" s="9">
        <f t="shared" si="22"/>
        <v>0.8</v>
      </c>
      <c r="D220" s="9">
        <v>30.3</v>
      </c>
      <c r="E220" s="9">
        <f t="shared" si="23"/>
        <v>67.681012156148526</v>
      </c>
      <c r="F220" s="9">
        <v>35</v>
      </c>
      <c r="G220" s="9">
        <f t="shared" si="24"/>
        <v>67.632336869627693</v>
      </c>
      <c r="H220" s="9">
        <v>27.5</v>
      </c>
      <c r="I220" s="9">
        <f t="shared" si="25"/>
        <v>68.14821823232657</v>
      </c>
      <c r="J220" s="9">
        <v>0</v>
      </c>
      <c r="K220" s="9">
        <f t="shared" si="26"/>
        <v>47.055956573373379</v>
      </c>
      <c r="L220" s="6">
        <f t="shared" ca="1" si="27"/>
        <v>195</v>
      </c>
    </row>
    <row r="221" spans="1:12" ht="18.25" customHeight="1">
      <c r="A221" s="7">
        <v>43684</v>
      </c>
      <c r="B221" s="8">
        <f t="shared" si="21"/>
        <v>4</v>
      </c>
      <c r="C221" s="9">
        <f t="shared" si="22"/>
        <v>1</v>
      </c>
      <c r="D221" s="9">
        <v>30.4</v>
      </c>
      <c r="E221" s="9">
        <f t="shared" si="23"/>
        <v>67.809087121656759</v>
      </c>
      <c r="F221" s="9">
        <v>35.6</v>
      </c>
      <c r="G221" s="9">
        <f t="shared" si="24"/>
        <v>68.384944995933239</v>
      </c>
      <c r="H221" s="9">
        <v>26.7</v>
      </c>
      <c r="I221" s="9">
        <f t="shared" si="25"/>
        <v>67.158882162608222</v>
      </c>
      <c r="J221" s="9">
        <v>0</v>
      </c>
      <c r="K221" s="9">
        <f t="shared" si="26"/>
        <v>47.055956573373379</v>
      </c>
      <c r="L221" s="6">
        <f t="shared" ca="1" si="27"/>
        <v>208</v>
      </c>
    </row>
    <row r="222" spans="1:12" ht="18.25" customHeight="1">
      <c r="A222" s="7">
        <v>43685</v>
      </c>
      <c r="B222" s="8">
        <f t="shared" si="21"/>
        <v>5</v>
      </c>
      <c r="C222" s="9">
        <f t="shared" si="22"/>
        <v>0.8</v>
      </c>
      <c r="D222" s="9">
        <v>29.9</v>
      </c>
      <c r="E222" s="9">
        <f t="shared" si="23"/>
        <v>67.168712294115608</v>
      </c>
      <c r="F222" s="9">
        <v>35.5</v>
      </c>
      <c r="G222" s="9">
        <f t="shared" si="24"/>
        <v>68.259510308215638</v>
      </c>
      <c r="H222" s="9">
        <v>26</v>
      </c>
      <c r="I222" s="9">
        <f t="shared" si="25"/>
        <v>66.293213101604664</v>
      </c>
      <c r="J222" s="9">
        <v>0</v>
      </c>
      <c r="K222" s="9">
        <f t="shared" si="26"/>
        <v>47.055956573373379</v>
      </c>
      <c r="L222" s="6">
        <f t="shared" ca="1" si="27"/>
        <v>188</v>
      </c>
    </row>
    <row r="223" spans="1:12" ht="18.25" customHeight="1">
      <c r="A223" s="7">
        <v>43686</v>
      </c>
      <c r="B223" s="8">
        <f t="shared" si="21"/>
        <v>6</v>
      </c>
      <c r="C223" s="9">
        <f t="shared" si="22"/>
        <v>0.8</v>
      </c>
      <c r="D223" s="9">
        <v>30.1</v>
      </c>
      <c r="E223" s="9">
        <f t="shared" si="23"/>
        <v>67.424862225132074</v>
      </c>
      <c r="F223" s="9">
        <v>35.6</v>
      </c>
      <c r="G223" s="9">
        <f t="shared" si="24"/>
        <v>68.384944995933239</v>
      </c>
      <c r="H223" s="9">
        <v>26.2</v>
      </c>
      <c r="I223" s="9">
        <f t="shared" si="25"/>
        <v>66.540547119034244</v>
      </c>
      <c r="J223" s="9">
        <v>0</v>
      </c>
      <c r="K223" s="9">
        <f t="shared" si="26"/>
        <v>47.055956573373379</v>
      </c>
      <c r="L223" s="6">
        <f t="shared" ca="1" si="27"/>
        <v>202</v>
      </c>
    </row>
    <row r="224" spans="1:12" ht="18.25" customHeight="1">
      <c r="A224" s="7">
        <v>43687</v>
      </c>
      <c r="B224" s="8">
        <f t="shared" si="21"/>
        <v>7</v>
      </c>
      <c r="C224" s="9">
        <f t="shared" si="22"/>
        <v>1.2</v>
      </c>
      <c r="D224" s="9">
        <v>29.6</v>
      </c>
      <c r="E224" s="9">
        <f t="shared" si="23"/>
        <v>66.784487397590922</v>
      </c>
      <c r="F224" s="9">
        <v>34.4</v>
      </c>
      <c r="G224" s="9">
        <f t="shared" si="24"/>
        <v>66.879728743322147</v>
      </c>
      <c r="H224" s="9">
        <v>25.7</v>
      </c>
      <c r="I224" s="9">
        <f t="shared" si="25"/>
        <v>65.92221207546028</v>
      </c>
      <c r="J224" s="9">
        <v>0</v>
      </c>
      <c r="K224" s="9">
        <f t="shared" si="26"/>
        <v>47.055956573373379</v>
      </c>
      <c r="L224" s="6">
        <f t="shared" ca="1" si="27"/>
        <v>253</v>
      </c>
    </row>
    <row r="225" spans="1:12" ht="18.25" customHeight="1">
      <c r="A225" s="7">
        <v>43688</v>
      </c>
      <c r="B225" s="8">
        <f t="shared" si="21"/>
        <v>1</v>
      </c>
      <c r="C225" s="9">
        <f t="shared" si="22"/>
        <v>1.5</v>
      </c>
      <c r="D225" s="9">
        <v>29.4</v>
      </c>
      <c r="E225" s="9">
        <f t="shared" si="23"/>
        <v>66.528337466574456</v>
      </c>
      <c r="F225" s="9">
        <v>35.6</v>
      </c>
      <c r="G225" s="9">
        <f t="shared" si="24"/>
        <v>68.384944995933239</v>
      </c>
      <c r="H225" s="9">
        <v>25.3</v>
      </c>
      <c r="I225" s="9">
        <f t="shared" si="25"/>
        <v>65.427544040601106</v>
      </c>
      <c r="J225" s="9">
        <v>0</v>
      </c>
      <c r="K225" s="9">
        <f t="shared" si="26"/>
        <v>47.055956573373379</v>
      </c>
      <c r="L225" s="6">
        <f t="shared" ca="1" si="27"/>
        <v>252</v>
      </c>
    </row>
    <row r="226" spans="1:12" ht="18.25" customHeight="1">
      <c r="A226" s="7">
        <v>43689</v>
      </c>
      <c r="B226" s="8">
        <f t="shared" si="21"/>
        <v>2</v>
      </c>
      <c r="C226" s="9">
        <f t="shared" si="22"/>
        <v>0.6</v>
      </c>
      <c r="D226" s="9">
        <v>28.8</v>
      </c>
      <c r="E226" s="9">
        <f t="shared" si="23"/>
        <v>65.759887673525071</v>
      </c>
      <c r="F226" s="9">
        <v>33.200000000000003</v>
      </c>
      <c r="G226" s="9">
        <f t="shared" si="24"/>
        <v>65.374512490711069</v>
      </c>
      <c r="H226" s="9">
        <v>25.6</v>
      </c>
      <c r="I226" s="9">
        <f t="shared" si="25"/>
        <v>65.79854506674549</v>
      </c>
      <c r="J226" s="9">
        <v>0.5</v>
      </c>
      <c r="K226" s="9">
        <f t="shared" si="26"/>
        <v>47.342663043682535</v>
      </c>
      <c r="L226" s="6">
        <f t="shared" ca="1" si="27"/>
        <v>175</v>
      </c>
    </row>
    <row r="227" spans="1:12" ht="18.25" customHeight="1">
      <c r="A227" s="7">
        <v>43690</v>
      </c>
      <c r="B227" s="8">
        <f t="shared" si="21"/>
        <v>3</v>
      </c>
      <c r="C227" s="9">
        <f t="shared" si="22"/>
        <v>0.8</v>
      </c>
      <c r="D227" s="9">
        <v>29.3</v>
      </c>
      <c r="E227" s="9">
        <f t="shared" si="23"/>
        <v>66.400262501066223</v>
      </c>
      <c r="F227" s="9">
        <v>35.5</v>
      </c>
      <c r="G227" s="9">
        <f t="shared" si="24"/>
        <v>68.259510308215638</v>
      </c>
      <c r="H227" s="9">
        <v>26.9</v>
      </c>
      <c r="I227" s="9">
        <f t="shared" si="25"/>
        <v>67.406216180037802</v>
      </c>
      <c r="J227" s="9">
        <v>0</v>
      </c>
      <c r="K227" s="9">
        <f t="shared" si="26"/>
        <v>47.055956573373379</v>
      </c>
      <c r="L227" s="6">
        <f t="shared" ca="1" si="27"/>
        <v>193</v>
      </c>
    </row>
    <row r="228" spans="1:12" ht="18.25" customHeight="1">
      <c r="A228" s="7">
        <v>43691</v>
      </c>
      <c r="B228" s="8">
        <f t="shared" si="21"/>
        <v>4</v>
      </c>
      <c r="C228" s="9">
        <f t="shared" si="22"/>
        <v>1</v>
      </c>
      <c r="D228" s="9">
        <v>29.2</v>
      </c>
      <c r="E228" s="9">
        <f t="shared" si="23"/>
        <v>66.27218753555799</v>
      </c>
      <c r="F228" s="9">
        <v>32.4</v>
      </c>
      <c r="G228" s="9">
        <f t="shared" si="24"/>
        <v>64.371034988970351</v>
      </c>
      <c r="H228" s="9">
        <v>27.1</v>
      </c>
      <c r="I228" s="9">
        <f t="shared" si="25"/>
        <v>67.653550197467396</v>
      </c>
      <c r="J228" s="9">
        <v>8.5</v>
      </c>
      <c r="K228" s="9">
        <f t="shared" si="26"/>
        <v>51.929966568629027</v>
      </c>
      <c r="L228" s="6">
        <f t="shared" ca="1" si="27"/>
        <v>198</v>
      </c>
    </row>
    <row r="229" spans="1:12" ht="18.25" customHeight="1">
      <c r="A229" s="7">
        <v>43692</v>
      </c>
      <c r="B229" s="8">
        <f t="shared" si="21"/>
        <v>5</v>
      </c>
      <c r="C229" s="9">
        <f t="shared" si="22"/>
        <v>0.8</v>
      </c>
      <c r="D229" s="9">
        <v>29.2</v>
      </c>
      <c r="E229" s="9">
        <f t="shared" si="23"/>
        <v>66.27218753555799</v>
      </c>
      <c r="F229" s="9">
        <v>32.6</v>
      </c>
      <c r="G229" s="9">
        <f t="shared" si="24"/>
        <v>64.621904364405538</v>
      </c>
      <c r="H229" s="9">
        <v>25.9</v>
      </c>
      <c r="I229" s="9">
        <f t="shared" si="25"/>
        <v>66.169546092889874</v>
      </c>
      <c r="J229" s="9">
        <v>20</v>
      </c>
      <c r="K229" s="9">
        <f t="shared" si="26"/>
        <v>58.524215385739609</v>
      </c>
      <c r="L229" s="6">
        <f t="shared" ca="1" si="27"/>
        <v>180</v>
      </c>
    </row>
    <row r="230" spans="1:12" ht="18.25" customHeight="1">
      <c r="A230" s="7">
        <v>43693</v>
      </c>
      <c r="B230" s="8">
        <f t="shared" si="21"/>
        <v>6</v>
      </c>
      <c r="C230" s="9">
        <f t="shared" si="22"/>
        <v>0.8</v>
      </c>
      <c r="D230" s="9">
        <v>29</v>
      </c>
      <c r="E230" s="9">
        <f t="shared" si="23"/>
        <v>66.016037604541538</v>
      </c>
      <c r="F230" s="9">
        <v>31.6</v>
      </c>
      <c r="G230" s="9">
        <f t="shared" si="24"/>
        <v>63.367557487229632</v>
      </c>
      <c r="H230" s="9">
        <v>28</v>
      </c>
      <c r="I230" s="9">
        <f t="shared" si="25"/>
        <v>68.766553275900534</v>
      </c>
      <c r="J230" s="9">
        <v>0</v>
      </c>
      <c r="K230" s="9">
        <f t="shared" si="26"/>
        <v>47.055956573373379</v>
      </c>
      <c r="L230" s="6">
        <f t="shared" ca="1" si="27"/>
        <v>204</v>
      </c>
    </row>
    <row r="231" spans="1:12" ht="18.25" customHeight="1">
      <c r="A231" s="7">
        <v>43694</v>
      </c>
      <c r="B231" s="8">
        <f t="shared" si="21"/>
        <v>7</v>
      </c>
      <c r="C231" s="9">
        <f t="shared" si="22"/>
        <v>1.2</v>
      </c>
      <c r="D231" s="9">
        <v>30.3</v>
      </c>
      <c r="E231" s="9">
        <f t="shared" si="23"/>
        <v>67.681012156148526</v>
      </c>
      <c r="F231" s="9">
        <v>35.5</v>
      </c>
      <c r="G231" s="9">
        <f t="shared" si="24"/>
        <v>68.259510308215638</v>
      </c>
      <c r="H231" s="9">
        <v>27.3</v>
      </c>
      <c r="I231" s="9">
        <f t="shared" si="25"/>
        <v>67.900884214896976</v>
      </c>
      <c r="J231" s="9">
        <v>0</v>
      </c>
      <c r="K231" s="9">
        <f t="shared" si="26"/>
        <v>47.055956573373379</v>
      </c>
      <c r="L231" s="6">
        <f t="shared" ca="1" si="27"/>
        <v>255</v>
      </c>
    </row>
    <row r="232" spans="1:12" ht="18.25" customHeight="1">
      <c r="A232" s="7">
        <v>43695</v>
      </c>
      <c r="B232" s="8">
        <f t="shared" si="21"/>
        <v>1</v>
      </c>
      <c r="C232" s="9">
        <f t="shared" si="22"/>
        <v>1.5</v>
      </c>
      <c r="D232" s="9">
        <v>30.1</v>
      </c>
      <c r="E232" s="9">
        <f t="shared" si="23"/>
        <v>67.424862225132074</v>
      </c>
      <c r="F232" s="9">
        <v>35.200000000000003</v>
      </c>
      <c r="G232" s="9">
        <f t="shared" si="24"/>
        <v>67.883206245062865</v>
      </c>
      <c r="H232" s="9">
        <v>26.5</v>
      </c>
      <c r="I232" s="9">
        <f t="shared" si="25"/>
        <v>66.911548145178628</v>
      </c>
      <c r="J232" s="9">
        <v>0</v>
      </c>
      <c r="K232" s="9">
        <f t="shared" si="26"/>
        <v>47.055956573373379</v>
      </c>
      <c r="L232" s="6">
        <f t="shared" ca="1" si="27"/>
        <v>285</v>
      </c>
    </row>
    <row r="233" spans="1:12" ht="18.25" customHeight="1">
      <c r="A233" s="7">
        <v>43696</v>
      </c>
      <c r="B233" s="8">
        <f t="shared" si="21"/>
        <v>2</v>
      </c>
      <c r="C233" s="9">
        <f t="shared" si="22"/>
        <v>0.6</v>
      </c>
      <c r="D233" s="9">
        <v>28.1</v>
      </c>
      <c r="E233" s="9">
        <f t="shared" si="23"/>
        <v>64.863362914967468</v>
      </c>
      <c r="F233" s="9">
        <v>32.200000000000003</v>
      </c>
      <c r="G233" s="9">
        <f t="shared" si="24"/>
        <v>64.120165613535178</v>
      </c>
      <c r="H233" s="9">
        <v>25.7</v>
      </c>
      <c r="I233" s="9">
        <f t="shared" si="25"/>
        <v>65.92221207546028</v>
      </c>
      <c r="J233" s="9">
        <v>0.5</v>
      </c>
      <c r="K233" s="9">
        <f t="shared" si="26"/>
        <v>47.342663043682535</v>
      </c>
      <c r="L233" s="6">
        <f t="shared" ca="1" si="27"/>
        <v>172</v>
      </c>
    </row>
    <row r="234" spans="1:12" ht="18.25" customHeight="1">
      <c r="A234" s="7">
        <v>43697</v>
      </c>
      <c r="B234" s="8">
        <f t="shared" si="21"/>
        <v>3</v>
      </c>
      <c r="C234" s="9">
        <f t="shared" si="22"/>
        <v>0.8</v>
      </c>
      <c r="D234" s="9">
        <v>26.5</v>
      </c>
      <c r="E234" s="9">
        <f t="shared" si="23"/>
        <v>62.81416346683578</v>
      </c>
      <c r="F234" s="9">
        <v>31.1</v>
      </c>
      <c r="G234" s="9">
        <f t="shared" si="24"/>
        <v>62.740384048641687</v>
      </c>
      <c r="H234" s="9">
        <v>24.1</v>
      </c>
      <c r="I234" s="9">
        <f t="shared" si="25"/>
        <v>63.943539936023591</v>
      </c>
      <c r="J234" s="9">
        <v>13</v>
      </c>
      <c r="K234" s="9">
        <f t="shared" si="26"/>
        <v>54.510324801411429</v>
      </c>
      <c r="L234" s="6">
        <f t="shared" ca="1" si="27"/>
        <v>170</v>
      </c>
    </row>
    <row r="235" spans="1:12" ht="18.25" customHeight="1">
      <c r="A235" s="7">
        <v>43698</v>
      </c>
      <c r="B235" s="8">
        <f t="shared" si="21"/>
        <v>4</v>
      </c>
      <c r="C235" s="9">
        <f t="shared" si="22"/>
        <v>1</v>
      </c>
      <c r="D235" s="9">
        <v>27</v>
      </c>
      <c r="E235" s="9">
        <f t="shared" si="23"/>
        <v>63.454538294376931</v>
      </c>
      <c r="F235" s="9">
        <v>31.4</v>
      </c>
      <c r="G235" s="9">
        <f t="shared" si="24"/>
        <v>63.116688111794446</v>
      </c>
      <c r="H235" s="9">
        <v>23.6</v>
      </c>
      <c r="I235" s="9">
        <f t="shared" si="25"/>
        <v>63.325204892449619</v>
      </c>
      <c r="J235" s="9">
        <v>3</v>
      </c>
      <c r="K235" s="9">
        <f t="shared" si="26"/>
        <v>48.776195395228314</v>
      </c>
      <c r="L235" s="6">
        <f t="shared" ca="1" si="27"/>
        <v>214</v>
      </c>
    </row>
    <row r="236" spans="1:12" ht="18.25" customHeight="1">
      <c r="A236" s="7">
        <v>43699</v>
      </c>
      <c r="B236" s="8">
        <f t="shared" si="21"/>
        <v>5</v>
      </c>
      <c r="C236" s="9">
        <f t="shared" si="22"/>
        <v>0.8</v>
      </c>
      <c r="D236" s="9">
        <v>26</v>
      </c>
      <c r="E236" s="9">
        <f t="shared" si="23"/>
        <v>62.173788639294628</v>
      </c>
      <c r="F236" s="9">
        <v>29.5</v>
      </c>
      <c r="G236" s="9">
        <f t="shared" si="24"/>
        <v>60.733429045160243</v>
      </c>
      <c r="H236" s="9">
        <v>23.2</v>
      </c>
      <c r="I236" s="9">
        <f t="shared" si="25"/>
        <v>62.830536857590445</v>
      </c>
      <c r="J236" s="9">
        <v>20</v>
      </c>
      <c r="K236" s="9">
        <f t="shared" si="26"/>
        <v>58.524215385739609</v>
      </c>
      <c r="L236" s="6">
        <f t="shared" ca="1" si="27"/>
        <v>162</v>
      </c>
    </row>
    <row r="237" spans="1:12" ht="18.25" customHeight="1">
      <c r="A237" s="7">
        <v>43700</v>
      </c>
      <c r="B237" s="8">
        <f t="shared" si="21"/>
        <v>6</v>
      </c>
      <c r="C237" s="9">
        <f t="shared" si="22"/>
        <v>0.8</v>
      </c>
      <c r="D237" s="9">
        <v>26.3</v>
      </c>
      <c r="E237" s="9">
        <f t="shared" si="23"/>
        <v>62.55801353581932</v>
      </c>
      <c r="F237" s="9">
        <v>28.5</v>
      </c>
      <c r="G237" s="9">
        <f t="shared" si="24"/>
        <v>59.479082167984345</v>
      </c>
      <c r="H237" s="9">
        <v>24</v>
      </c>
      <c r="I237" s="9">
        <f t="shared" si="25"/>
        <v>63.819872927308793</v>
      </c>
      <c r="J237" s="9">
        <v>4.5</v>
      </c>
      <c r="K237" s="9">
        <f t="shared" si="26"/>
        <v>49.636314806155781</v>
      </c>
      <c r="L237" s="6">
        <f t="shared" ca="1" si="27"/>
        <v>179</v>
      </c>
    </row>
    <row r="238" spans="1:12" ht="18.25" customHeight="1">
      <c r="A238" s="7">
        <v>43701</v>
      </c>
      <c r="B238" s="8">
        <f t="shared" si="21"/>
        <v>7</v>
      </c>
      <c r="C238" s="9">
        <f t="shared" si="22"/>
        <v>1.2</v>
      </c>
      <c r="D238" s="9">
        <v>27.3</v>
      </c>
      <c r="E238" s="9">
        <f t="shared" si="23"/>
        <v>63.838763190901624</v>
      </c>
      <c r="F238" s="9">
        <v>31.4</v>
      </c>
      <c r="G238" s="9">
        <f t="shared" si="24"/>
        <v>63.116688111794446</v>
      </c>
      <c r="H238" s="9">
        <v>24</v>
      </c>
      <c r="I238" s="9">
        <f t="shared" si="25"/>
        <v>63.819872927308793</v>
      </c>
      <c r="J238" s="9">
        <v>0</v>
      </c>
      <c r="K238" s="9">
        <f t="shared" si="26"/>
        <v>47.055956573373379</v>
      </c>
      <c r="L238" s="6">
        <f t="shared" ca="1" si="27"/>
        <v>232</v>
      </c>
    </row>
    <row r="239" spans="1:12" ht="18.25" customHeight="1">
      <c r="A239" s="7">
        <v>43702</v>
      </c>
      <c r="B239" s="8">
        <f t="shared" si="21"/>
        <v>1</v>
      </c>
      <c r="C239" s="9">
        <f t="shared" si="22"/>
        <v>1.5</v>
      </c>
      <c r="D239" s="9">
        <v>25.8</v>
      </c>
      <c r="E239" s="9">
        <f t="shared" si="23"/>
        <v>61.917638708278169</v>
      </c>
      <c r="F239" s="9">
        <v>31.1</v>
      </c>
      <c r="G239" s="9">
        <f t="shared" si="24"/>
        <v>62.740384048641687</v>
      </c>
      <c r="H239" s="9">
        <v>20.7</v>
      </c>
      <c r="I239" s="9">
        <f t="shared" si="25"/>
        <v>59.738861639720611</v>
      </c>
      <c r="J239" s="9">
        <v>15</v>
      </c>
      <c r="K239" s="9">
        <f t="shared" si="26"/>
        <v>55.657150682648052</v>
      </c>
      <c r="L239" s="6">
        <f t="shared" ca="1" si="27"/>
        <v>258</v>
      </c>
    </row>
    <row r="240" spans="1:12" ht="18.25" customHeight="1">
      <c r="A240" s="7">
        <v>43703</v>
      </c>
      <c r="B240" s="8">
        <f t="shared" si="21"/>
        <v>2</v>
      </c>
      <c r="C240" s="9">
        <f t="shared" si="22"/>
        <v>0.6</v>
      </c>
      <c r="D240" s="9">
        <v>25.3</v>
      </c>
      <c r="E240" s="9">
        <f t="shared" si="23"/>
        <v>61.277263880737017</v>
      </c>
      <c r="F240" s="9">
        <v>28.5</v>
      </c>
      <c r="G240" s="9">
        <f t="shared" si="24"/>
        <v>59.479082167984345</v>
      </c>
      <c r="H240" s="9">
        <v>22.9</v>
      </c>
      <c r="I240" s="9">
        <f t="shared" si="25"/>
        <v>62.459535831446061</v>
      </c>
      <c r="J240" s="9">
        <v>0</v>
      </c>
      <c r="K240" s="9">
        <f t="shared" si="26"/>
        <v>47.055956573373379</v>
      </c>
      <c r="L240" s="6">
        <f t="shared" ca="1" si="27"/>
        <v>149</v>
      </c>
    </row>
    <row r="241" spans="1:12" ht="18.25" customHeight="1">
      <c r="A241" s="7">
        <v>43704</v>
      </c>
      <c r="B241" s="8">
        <f t="shared" si="21"/>
        <v>3</v>
      </c>
      <c r="C241" s="9">
        <f t="shared" si="22"/>
        <v>0.8</v>
      </c>
      <c r="D241" s="9">
        <v>25.3</v>
      </c>
      <c r="E241" s="9">
        <f t="shared" si="23"/>
        <v>61.277263880737017</v>
      </c>
      <c r="F241" s="9">
        <v>29.4</v>
      </c>
      <c r="G241" s="9">
        <f t="shared" si="24"/>
        <v>60.607994357442649</v>
      </c>
      <c r="H241" s="9">
        <v>22.8</v>
      </c>
      <c r="I241" s="9">
        <f t="shared" si="25"/>
        <v>62.335868822731271</v>
      </c>
      <c r="J241" s="9">
        <v>6</v>
      </c>
      <c r="K241" s="9">
        <f t="shared" si="26"/>
        <v>50.496434217083248</v>
      </c>
      <c r="L241" s="6">
        <f t="shared" ca="1" si="27"/>
        <v>182</v>
      </c>
    </row>
    <row r="242" spans="1:12" ht="18.25" customHeight="1">
      <c r="A242" s="7">
        <v>43705</v>
      </c>
      <c r="B242" s="8">
        <f t="shared" si="21"/>
        <v>4</v>
      </c>
      <c r="C242" s="9">
        <f t="shared" si="22"/>
        <v>1</v>
      </c>
      <c r="D242" s="9">
        <v>25.6</v>
      </c>
      <c r="E242" s="9">
        <f t="shared" si="23"/>
        <v>61.66148877726171</v>
      </c>
      <c r="F242" s="9">
        <v>28.1</v>
      </c>
      <c r="G242" s="9">
        <f t="shared" si="24"/>
        <v>58.977343417113985</v>
      </c>
      <c r="H242" s="9">
        <v>23.2</v>
      </c>
      <c r="I242" s="9">
        <f t="shared" si="25"/>
        <v>62.830536857590445</v>
      </c>
      <c r="J242" s="9">
        <v>7</v>
      </c>
      <c r="K242" s="9">
        <f t="shared" si="26"/>
        <v>51.06984715770156</v>
      </c>
      <c r="L242" s="6">
        <f t="shared" ca="1" si="27"/>
        <v>206</v>
      </c>
    </row>
    <row r="243" spans="1:12" ht="18.25" customHeight="1">
      <c r="A243" s="7">
        <v>43706</v>
      </c>
      <c r="B243" s="8">
        <f t="shared" si="21"/>
        <v>5</v>
      </c>
      <c r="C243" s="9">
        <f t="shared" si="22"/>
        <v>0.8</v>
      </c>
      <c r="D243" s="9">
        <v>28.9</v>
      </c>
      <c r="E243" s="9">
        <f t="shared" si="23"/>
        <v>65.887962639033304</v>
      </c>
      <c r="F243" s="9">
        <v>34.6</v>
      </c>
      <c r="G243" s="9">
        <f t="shared" si="24"/>
        <v>67.130598118757334</v>
      </c>
      <c r="H243" s="9">
        <v>24.7</v>
      </c>
      <c r="I243" s="9">
        <f t="shared" si="25"/>
        <v>64.685541988312352</v>
      </c>
      <c r="J243" s="9">
        <v>0</v>
      </c>
      <c r="K243" s="9">
        <f t="shared" si="26"/>
        <v>47.055956573373379</v>
      </c>
      <c r="L243" s="6">
        <f t="shared" ca="1" si="27"/>
        <v>202</v>
      </c>
    </row>
    <row r="244" spans="1:12" ht="18.25" customHeight="1">
      <c r="A244" s="7">
        <v>43707</v>
      </c>
      <c r="B244" s="8">
        <f t="shared" si="21"/>
        <v>6</v>
      </c>
      <c r="C244" s="9">
        <f t="shared" si="22"/>
        <v>0.8</v>
      </c>
      <c r="D244" s="9">
        <v>26</v>
      </c>
      <c r="E244" s="9">
        <f t="shared" si="23"/>
        <v>62.173788639294628</v>
      </c>
      <c r="F244" s="9">
        <v>28</v>
      </c>
      <c r="G244" s="9">
        <f t="shared" si="24"/>
        <v>58.851908729396392</v>
      </c>
      <c r="H244" s="9">
        <v>24.2</v>
      </c>
      <c r="I244" s="9">
        <f t="shared" si="25"/>
        <v>64.067206944738388</v>
      </c>
      <c r="J244" s="9">
        <v>12</v>
      </c>
      <c r="K244" s="9">
        <f t="shared" si="26"/>
        <v>53.936911860793124</v>
      </c>
      <c r="L244" s="6">
        <f t="shared" ca="1" si="27"/>
        <v>159</v>
      </c>
    </row>
    <row r="245" spans="1:12" ht="18.25" customHeight="1">
      <c r="A245" s="7">
        <v>43708</v>
      </c>
      <c r="B245" s="8">
        <f t="shared" si="21"/>
        <v>7</v>
      </c>
      <c r="C245" s="9">
        <f t="shared" si="22"/>
        <v>1.2</v>
      </c>
      <c r="D245" s="9">
        <v>27.3</v>
      </c>
      <c r="E245" s="9">
        <f t="shared" si="23"/>
        <v>63.838763190901624</v>
      </c>
      <c r="F245" s="9">
        <v>31.7</v>
      </c>
      <c r="G245" s="9">
        <f t="shared" si="24"/>
        <v>63.492992174947219</v>
      </c>
      <c r="H245" s="9">
        <v>24.3</v>
      </c>
      <c r="I245" s="9">
        <f t="shared" si="25"/>
        <v>64.190873953453178</v>
      </c>
      <c r="J245" s="9">
        <v>0</v>
      </c>
      <c r="K245" s="9">
        <f t="shared" si="26"/>
        <v>47.055956573373379</v>
      </c>
      <c r="L245" s="6">
        <f t="shared" ca="1" si="27"/>
        <v>219</v>
      </c>
    </row>
    <row r="246" spans="1:12" ht="18.25" customHeight="1">
      <c r="A246" s="7">
        <v>43709</v>
      </c>
      <c r="B246" s="8">
        <f t="shared" si="21"/>
        <v>1</v>
      </c>
      <c r="C246" s="9">
        <f t="shared" si="22"/>
        <v>1.5</v>
      </c>
      <c r="D246" s="9">
        <v>27.7</v>
      </c>
      <c r="E246" s="9">
        <f t="shared" si="23"/>
        <v>64.351063052934535</v>
      </c>
      <c r="F246" s="9">
        <v>32.1</v>
      </c>
      <c r="G246" s="9">
        <f t="shared" si="24"/>
        <v>63.994730925817585</v>
      </c>
      <c r="H246" s="9">
        <v>25</v>
      </c>
      <c r="I246" s="9">
        <f t="shared" si="25"/>
        <v>65.056543014456736</v>
      </c>
      <c r="J246" s="9">
        <v>0</v>
      </c>
      <c r="K246" s="9">
        <f t="shared" si="26"/>
        <v>47.055956573373379</v>
      </c>
      <c r="L246" s="6">
        <f t="shared" ca="1" si="27"/>
        <v>274</v>
      </c>
    </row>
    <row r="247" spans="1:12" ht="18.25" customHeight="1">
      <c r="A247" s="7">
        <v>43710</v>
      </c>
      <c r="B247" s="8">
        <f t="shared" si="21"/>
        <v>2</v>
      </c>
      <c r="C247" s="9">
        <f t="shared" si="22"/>
        <v>0.6</v>
      </c>
      <c r="D247" s="9">
        <v>27.6</v>
      </c>
      <c r="E247" s="9">
        <f t="shared" si="23"/>
        <v>64.222988087426316</v>
      </c>
      <c r="F247" s="9">
        <v>31.8</v>
      </c>
      <c r="G247" s="9">
        <f t="shared" si="24"/>
        <v>63.618426862664812</v>
      </c>
      <c r="H247" s="9">
        <v>24.1</v>
      </c>
      <c r="I247" s="9">
        <f t="shared" si="25"/>
        <v>63.943539936023591</v>
      </c>
      <c r="J247" s="9">
        <v>0</v>
      </c>
      <c r="K247" s="9">
        <f t="shared" si="26"/>
        <v>47.055956573373379</v>
      </c>
      <c r="L247" s="6">
        <f t="shared" ca="1" si="27"/>
        <v>165</v>
      </c>
    </row>
    <row r="248" spans="1:12" ht="18.25" customHeight="1">
      <c r="A248" s="7">
        <v>43711</v>
      </c>
      <c r="B248" s="8">
        <f t="shared" si="21"/>
        <v>3</v>
      </c>
      <c r="C248" s="9">
        <f t="shared" si="22"/>
        <v>0.8</v>
      </c>
      <c r="D248" s="9">
        <v>25.8</v>
      </c>
      <c r="E248" s="9">
        <f t="shared" si="23"/>
        <v>61.917638708278169</v>
      </c>
      <c r="F248" s="9">
        <v>28.5</v>
      </c>
      <c r="G248" s="9">
        <f t="shared" si="24"/>
        <v>59.479082167984345</v>
      </c>
      <c r="H248" s="9">
        <v>22.6</v>
      </c>
      <c r="I248" s="9">
        <f t="shared" si="25"/>
        <v>62.088534805301691</v>
      </c>
      <c r="J248" s="9">
        <v>1.5</v>
      </c>
      <c r="K248" s="9">
        <f t="shared" si="26"/>
        <v>47.916075984300846</v>
      </c>
      <c r="L248" s="6">
        <f t="shared" ca="1" si="27"/>
        <v>171</v>
      </c>
    </row>
    <row r="249" spans="1:12" ht="18.25" customHeight="1">
      <c r="A249" s="7">
        <v>43712</v>
      </c>
      <c r="B249" s="8">
        <f t="shared" si="21"/>
        <v>4</v>
      </c>
      <c r="C249" s="9">
        <f t="shared" si="22"/>
        <v>1</v>
      </c>
      <c r="D249" s="9">
        <v>23.7</v>
      </c>
      <c r="E249" s="9">
        <f t="shared" si="23"/>
        <v>59.228064432605336</v>
      </c>
      <c r="F249" s="9">
        <v>26.5</v>
      </c>
      <c r="G249" s="9">
        <f t="shared" si="24"/>
        <v>56.970388413632548</v>
      </c>
      <c r="H249" s="9">
        <v>22.5</v>
      </c>
      <c r="I249" s="9">
        <f t="shared" si="25"/>
        <v>61.964867796586894</v>
      </c>
      <c r="J249" s="9">
        <v>0</v>
      </c>
      <c r="K249" s="9">
        <f t="shared" si="26"/>
        <v>47.055956573373379</v>
      </c>
      <c r="L249" s="6">
        <f t="shared" ca="1" si="27"/>
        <v>207</v>
      </c>
    </row>
    <row r="250" spans="1:12" ht="18.25" customHeight="1">
      <c r="A250" s="7">
        <v>43713</v>
      </c>
      <c r="B250" s="8">
        <f t="shared" si="21"/>
        <v>5</v>
      </c>
      <c r="C250" s="9">
        <f t="shared" si="22"/>
        <v>0.8</v>
      </c>
      <c r="D250" s="9">
        <v>25.7</v>
      </c>
      <c r="E250" s="9">
        <f t="shared" si="23"/>
        <v>61.789563742769936</v>
      </c>
      <c r="F250" s="9">
        <v>29.6</v>
      </c>
      <c r="G250" s="9">
        <f t="shared" si="24"/>
        <v>60.858863732877836</v>
      </c>
      <c r="H250" s="9">
        <v>23</v>
      </c>
      <c r="I250" s="9">
        <f t="shared" si="25"/>
        <v>62.583202840160858</v>
      </c>
      <c r="J250" s="9">
        <v>0</v>
      </c>
      <c r="K250" s="9">
        <f t="shared" si="26"/>
        <v>47.055956573373379</v>
      </c>
      <c r="L250" s="6">
        <f t="shared" ca="1" si="27"/>
        <v>188</v>
      </c>
    </row>
    <row r="251" spans="1:12" ht="18.25" customHeight="1">
      <c r="A251" s="7">
        <v>43714</v>
      </c>
      <c r="B251" s="8">
        <f t="shared" si="21"/>
        <v>6</v>
      </c>
      <c r="C251" s="9">
        <f t="shared" si="22"/>
        <v>0.8</v>
      </c>
      <c r="D251" s="9">
        <v>27.9</v>
      </c>
      <c r="E251" s="9">
        <f t="shared" si="23"/>
        <v>64.607212983951001</v>
      </c>
      <c r="F251" s="9">
        <v>32.9</v>
      </c>
      <c r="G251" s="9">
        <f t="shared" si="24"/>
        <v>64.998208427558296</v>
      </c>
      <c r="H251" s="9">
        <v>23.1</v>
      </c>
      <c r="I251" s="9">
        <f t="shared" si="25"/>
        <v>62.706869848875655</v>
      </c>
      <c r="J251" s="9">
        <v>0</v>
      </c>
      <c r="K251" s="9">
        <f t="shared" si="26"/>
        <v>47.055956573373379</v>
      </c>
      <c r="L251" s="6">
        <f t="shared" ca="1" si="27"/>
        <v>190</v>
      </c>
    </row>
    <row r="252" spans="1:12" ht="18.25" customHeight="1">
      <c r="A252" s="7">
        <v>43715</v>
      </c>
      <c r="B252" s="8">
        <f t="shared" si="21"/>
        <v>7</v>
      </c>
      <c r="C252" s="9">
        <f t="shared" si="22"/>
        <v>1.2</v>
      </c>
      <c r="D252" s="9">
        <v>28.4</v>
      </c>
      <c r="E252" s="9">
        <f t="shared" si="23"/>
        <v>65.247587811492153</v>
      </c>
      <c r="F252" s="9">
        <v>33.5</v>
      </c>
      <c r="G252" s="9">
        <f t="shared" si="24"/>
        <v>65.750816553863842</v>
      </c>
      <c r="H252" s="9">
        <v>24.8</v>
      </c>
      <c r="I252" s="9">
        <f t="shared" si="25"/>
        <v>64.809208997027142</v>
      </c>
      <c r="J252" s="9">
        <v>0</v>
      </c>
      <c r="K252" s="9">
        <f t="shared" si="26"/>
        <v>47.055956573373379</v>
      </c>
      <c r="L252" s="6">
        <f t="shared" ca="1" si="27"/>
        <v>222</v>
      </c>
    </row>
    <row r="253" spans="1:12" ht="18.25" customHeight="1">
      <c r="A253" s="7">
        <v>43716</v>
      </c>
      <c r="B253" s="8">
        <f t="shared" si="21"/>
        <v>1</v>
      </c>
      <c r="C253" s="9">
        <f t="shared" si="22"/>
        <v>1.5</v>
      </c>
      <c r="D253" s="9">
        <v>29.1</v>
      </c>
      <c r="E253" s="9">
        <f t="shared" si="23"/>
        <v>66.144112570049771</v>
      </c>
      <c r="F253" s="9">
        <v>33.299999999999997</v>
      </c>
      <c r="G253" s="9">
        <f t="shared" si="24"/>
        <v>65.499947178428656</v>
      </c>
      <c r="H253" s="9">
        <v>25.3</v>
      </c>
      <c r="I253" s="9">
        <f t="shared" si="25"/>
        <v>65.427544040601106</v>
      </c>
      <c r="J253" s="9">
        <v>8.5</v>
      </c>
      <c r="K253" s="9">
        <f t="shared" si="26"/>
        <v>51.929966568629027</v>
      </c>
      <c r="L253" s="6">
        <f t="shared" ca="1" si="27"/>
        <v>277</v>
      </c>
    </row>
    <row r="254" spans="1:12" ht="18.25" customHeight="1">
      <c r="A254" s="7">
        <v>43717</v>
      </c>
      <c r="B254" s="8">
        <f t="shared" si="21"/>
        <v>2</v>
      </c>
      <c r="C254" s="9">
        <f t="shared" si="22"/>
        <v>0.6</v>
      </c>
      <c r="D254" s="9">
        <v>29</v>
      </c>
      <c r="E254" s="9">
        <f t="shared" si="23"/>
        <v>66.016037604541538</v>
      </c>
      <c r="F254" s="9">
        <v>36.200000000000003</v>
      </c>
      <c r="G254" s="9">
        <f t="shared" si="24"/>
        <v>69.137553122238771</v>
      </c>
      <c r="H254" s="9">
        <v>24.5</v>
      </c>
      <c r="I254" s="9">
        <f t="shared" si="25"/>
        <v>64.438207970882758</v>
      </c>
      <c r="J254" s="9">
        <v>119</v>
      </c>
      <c r="K254" s="9">
        <f t="shared" si="26"/>
        <v>115.29209650695246</v>
      </c>
      <c r="L254" s="6">
        <f t="shared" ca="1" si="27"/>
        <v>54</v>
      </c>
    </row>
    <row r="255" spans="1:12" ht="18.25" customHeight="1">
      <c r="A255" s="7">
        <v>43718</v>
      </c>
      <c r="B255" s="8">
        <f t="shared" si="21"/>
        <v>3</v>
      </c>
      <c r="C255" s="9">
        <f t="shared" si="22"/>
        <v>0.8</v>
      </c>
      <c r="D255" s="9">
        <v>29.9</v>
      </c>
      <c r="E255" s="9">
        <f t="shared" si="23"/>
        <v>67.168712294115608</v>
      </c>
      <c r="F255" s="9">
        <v>35.6</v>
      </c>
      <c r="G255" s="9">
        <f t="shared" si="24"/>
        <v>68.384944995933239</v>
      </c>
      <c r="H255" s="9">
        <v>25.4</v>
      </c>
      <c r="I255" s="9">
        <f t="shared" si="25"/>
        <v>65.551211049315896</v>
      </c>
      <c r="J255" s="9">
        <v>0.5</v>
      </c>
      <c r="K255" s="9">
        <f t="shared" si="26"/>
        <v>47.342663043682535</v>
      </c>
      <c r="L255" s="6">
        <f t="shared" ca="1" si="27"/>
        <v>192</v>
      </c>
    </row>
    <row r="256" spans="1:12" ht="18.25" customHeight="1">
      <c r="A256" s="7">
        <v>43719</v>
      </c>
      <c r="B256" s="8">
        <f t="shared" si="21"/>
        <v>4</v>
      </c>
      <c r="C256" s="9">
        <f t="shared" si="22"/>
        <v>1</v>
      </c>
      <c r="D256" s="9">
        <v>27.4</v>
      </c>
      <c r="E256" s="9">
        <f t="shared" si="23"/>
        <v>63.96683815640985</v>
      </c>
      <c r="F256" s="9">
        <v>32.299999999999997</v>
      </c>
      <c r="G256" s="9">
        <f t="shared" si="24"/>
        <v>64.24560030125275</v>
      </c>
      <c r="H256" s="9">
        <v>24.3</v>
      </c>
      <c r="I256" s="9">
        <f t="shared" si="25"/>
        <v>64.190873953453178</v>
      </c>
      <c r="J256" s="9">
        <v>7.5</v>
      </c>
      <c r="K256" s="9">
        <f t="shared" si="26"/>
        <v>51.356553628010715</v>
      </c>
      <c r="L256" s="6">
        <f t="shared" ca="1" si="27"/>
        <v>197</v>
      </c>
    </row>
    <row r="257" spans="1:12" ht="18.25" customHeight="1">
      <c r="A257" s="7">
        <v>43720</v>
      </c>
      <c r="B257" s="8">
        <f t="shared" si="21"/>
        <v>5</v>
      </c>
      <c r="C257" s="9">
        <f t="shared" si="22"/>
        <v>0.8</v>
      </c>
      <c r="D257" s="9">
        <v>25.1</v>
      </c>
      <c r="E257" s="9">
        <f t="shared" si="23"/>
        <v>61.021113949720558</v>
      </c>
      <c r="F257" s="9">
        <v>28.7</v>
      </c>
      <c r="G257" s="9">
        <f t="shared" si="24"/>
        <v>59.729951543419517</v>
      </c>
      <c r="H257" s="9">
        <v>22.7</v>
      </c>
      <c r="I257" s="9">
        <f t="shared" si="25"/>
        <v>62.212201814016481</v>
      </c>
      <c r="J257" s="9">
        <v>0</v>
      </c>
      <c r="K257" s="9">
        <f t="shared" si="26"/>
        <v>47.055956573373379</v>
      </c>
      <c r="L257" s="6">
        <f t="shared" ca="1" si="27"/>
        <v>173</v>
      </c>
    </row>
    <row r="258" spans="1:12" ht="18.25" customHeight="1">
      <c r="A258" s="7">
        <v>43721</v>
      </c>
      <c r="B258" s="8">
        <f t="shared" si="21"/>
        <v>6</v>
      </c>
      <c r="C258" s="9">
        <f t="shared" si="22"/>
        <v>0.8</v>
      </c>
      <c r="D258" s="9">
        <v>22.4</v>
      </c>
      <c r="E258" s="9">
        <f t="shared" si="23"/>
        <v>57.563089880998341</v>
      </c>
      <c r="F258" s="9">
        <v>23.6</v>
      </c>
      <c r="G258" s="9">
        <f t="shared" si="24"/>
        <v>53.33278246982244</v>
      </c>
      <c r="H258" s="9">
        <v>20.3</v>
      </c>
      <c r="I258" s="9">
        <f t="shared" si="25"/>
        <v>59.244193604861437</v>
      </c>
      <c r="J258" s="9">
        <v>0</v>
      </c>
      <c r="K258" s="9">
        <f t="shared" si="26"/>
        <v>47.055956573373379</v>
      </c>
      <c r="L258" s="6">
        <f t="shared" ca="1" si="27"/>
        <v>162</v>
      </c>
    </row>
    <row r="259" spans="1:12" ht="18.25" customHeight="1">
      <c r="A259" s="7">
        <v>43722</v>
      </c>
      <c r="B259" s="8">
        <f t="shared" ref="B259:B322" si="28">WEEKDAY($A259)</f>
        <v>7</v>
      </c>
      <c r="C259" s="9">
        <f t="shared" ref="C259:C322" si="29">_xlfn.IFS(B259=1,1.5,B259=2,0.6,B259=3,0.8,B259=4,1,B259=5,0.8,B259=6,0.8,B259=7,1.2)</f>
        <v>1.2</v>
      </c>
      <c r="D259" s="9">
        <v>22.1</v>
      </c>
      <c r="E259" s="9">
        <f t="shared" ref="E259:E322" si="30">(((D259-AVERAGE(D$3:D$367))*10)/STDEVP(D$3:D$367))+50</f>
        <v>57.178864984473648</v>
      </c>
      <c r="F259" s="9">
        <v>25.1</v>
      </c>
      <c r="G259" s="9">
        <f t="shared" ref="G259:G322" si="31">(((F259-AVERAGE(F$3:F$367))*10)/STDEVP(F$3:F$367))+50</f>
        <v>55.214302785586284</v>
      </c>
      <c r="H259" s="9">
        <v>19.5</v>
      </c>
      <c r="I259" s="9">
        <f t="shared" ref="I259:I322" si="32">(((H259-AVERAGE(H$3:H$367))*10)/STDEVP(H$3:H$367))+50</f>
        <v>58.254857535143088</v>
      </c>
      <c r="J259" s="9">
        <v>0</v>
      </c>
      <c r="K259" s="9">
        <f t="shared" ref="K259:K322" si="33">(((J259-AVERAGE(J$3:J$367))*10)/STDEVP(J$3:J$367))+50</f>
        <v>47.055956573373379</v>
      </c>
      <c r="L259" s="6">
        <f t="shared" ca="1" si="27"/>
        <v>211</v>
      </c>
    </row>
    <row r="260" spans="1:12" ht="18.25" customHeight="1">
      <c r="A260" s="7">
        <v>43723</v>
      </c>
      <c r="B260" s="8">
        <f t="shared" si="28"/>
        <v>1</v>
      </c>
      <c r="C260" s="9">
        <f t="shared" si="29"/>
        <v>1.5</v>
      </c>
      <c r="D260" s="9">
        <v>25.2</v>
      </c>
      <c r="E260" s="9">
        <f t="shared" si="30"/>
        <v>61.149188915228784</v>
      </c>
      <c r="F260" s="9">
        <v>31.1</v>
      </c>
      <c r="G260" s="9">
        <f t="shared" si="31"/>
        <v>62.740384048641687</v>
      </c>
      <c r="H260" s="9">
        <v>20.3</v>
      </c>
      <c r="I260" s="9">
        <f t="shared" si="32"/>
        <v>59.244193604861437</v>
      </c>
      <c r="J260" s="9">
        <v>0.5</v>
      </c>
      <c r="K260" s="9">
        <f t="shared" si="33"/>
        <v>47.342663043682535</v>
      </c>
      <c r="L260" s="6">
        <f t="shared" ref="L260:L323" ca="1" si="34">MAX(INT(RAND()*30*C260+E260*30/50+G260*50/50+I260*10/50+I260*50/50-K260*90/50+100*C260),0)</f>
        <v>271</v>
      </c>
    </row>
    <row r="261" spans="1:12" ht="18.25" customHeight="1">
      <c r="A261" s="7">
        <v>43724</v>
      </c>
      <c r="B261" s="8">
        <f t="shared" si="28"/>
        <v>2</v>
      </c>
      <c r="C261" s="9">
        <f t="shared" si="29"/>
        <v>0.6</v>
      </c>
      <c r="D261" s="9">
        <v>22.9</v>
      </c>
      <c r="E261" s="9">
        <f t="shared" si="30"/>
        <v>58.203464708539485</v>
      </c>
      <c r="F261" s="9">
        <v>25.3</v>
      </c>
      <c r="G261" s="9">
        <f t="shared" si="31"/>
        <v>55.465172161021464</v>
      </c>
      <c r="H261" s="9">
        <v>21.4</v>
      </c>
      <c r="I261" s="9">
        <f t="shared" si="32"/>
        <v>60.604530700724162</v>
      </c>
      <c r="J261" s="9">
        <v>28.5</v>
      </c>
      <c r="K261" s="9">
        <f t="shared" si="33"/>
        <v>63.398225380995257</v>
      </c>
      <c r="L261" s="6">
        <f t="shared" ca="1" si="34"/>
        <v>116</v>
      </c>
    </row>
    <row r="262" spans="1:12" ht="18.25" customHeight="1">
      <c r="A262" s="7">
        <v>43725</v>
      </c>
      <c r="B262" s="8">
        <f t="shared" si="28"/>
        <v>3</v>
      </c>
      <c r="C262" s="9">
        <f t="shared" si="29"/>
        <v>0.8</v>
      </c>
      <c r="D262" s="9">
        <v>25.8</v>
      </c>
      <c r="E262" s="9">
        <f t="shared" si="30"/>
        <v>61.917638708278169</v>
      </c>
      <c r="F262" s="9">
        <v>31.1</v>
      </c>
      <c r="G262" s="9">
        <f t="shared" si="31"/>
        <v>62.740384048641687</v>
      </c>
      <c r="H262" s="9">
        <v>22.3</v>
      </c>
      <c r="I262" s="9">
        <f t="shared" si="32"/>
        <v>61.717533779157307</v>
      </c>
      <c r="J262" s="9">
        <v>0</v>
      </c>
      <c r="K262" s="9">
        <f t="shared" si="33"/>
        <v>47.055956573373379</v>
      </c>
      <c r="L262" s="6">
        <f t="shared" ca="1" si="34"/>
        <v>175</v>
      </c>
    </row>
    <row r="263" spans="1:12" ht="18.25" customHeight="1">
      <c r="A263" s="7">
        <v>43726</v>
      </c>
      <c r="B263" s="8">
        <f t="shared" si="28"/>
        <v>4</v>
      </c>
      <c r="C263" s="9">
        <f t="shared" si="29"/>
        <v>1</v>
      </c>
      <c r="D263" s="9">
        <v>21.2</v>
      </c>
      <c r="E263" s="9">
        <f t="shared" si="30"/>
        <v>56.026190294899578</v>
      </c>
      <c r="F263" s="9">
        <v>24.8</v>
      </c>
      <c r="G263" s="9">
        <f t="shared" si="31"/>
        <v>54.837998722433518</v>
      </c>
      <c r="H263" s="9">
        <v>18.399999999999999</v>
      </c>
      <c r="I263" s="9">
        <f t="shared" si="32"/>
        <v>56.894520439280356</v>
      </c>
      <c r="J263" s="9">
        <v>9.5</v>
      </c>
      <c r="K263" s="9">
        <f t="shared" si="33"/>
        <v>52.503379509247338</v>
      </c>
      <c r="L263" s="6">
        <f t="shared" ca="1" si="34"/>
        <v>164</v>
      </c>
    </row>
    <row r="264" spans="1:12" ht="18.25" customHeight="1">
      <c r="A264" s="7">
        <v>43727</v>
      </c>
      <c r="B264" s="8">
        <f t="shared" si="28"/>
        <v>5</v>
      </c>
      <c r="C264" s="9">
        <f t="shared" si="29"/>
        <v>0.8</v>
      </c>
      <c r="D264" s="9">
        <v>22.1</v>
      </c>
      <c r="E264" s="9">
        <f t="shared" si="30"/>
        <v>57.178864984473648</v>
      </c>
      <c r="F264" s="9">
        <v>27.7</v>
      </c>
      <c r="G264" s="9">
        <f t="shared" si="31"/>
        <v>58.475604666243626</v>
      </c>
      <c r="H264" s="9">
        <v>17.100000000000001</v>
      </c>
      <c r="I264" s="9">
        <f t="shared" si="32"/>
        <v>55.286849325988044</v>
      </c>
      <c r="J264" s="9">
        <v>0</v>
      </c>
      <c r="K264" s="9">
        <f t="shared" si="33"/>
        <v>47.055956573373379</v>
      </c>
      <c r="L264" s="6">
        <f t="shared" ca="1" si="34"/>
        <v>178</v>
      </c>
    </row>
    <row r="265" spans="1:12" ht="18.25" customHeight="1">
      <c r="A265" s="7">
        <v>43728</v>
      </c>
      <c r="B265" s="8">
        <f t="shared" si="28"/>
        <v>6</v>
      </c>
      <c r="C265" s="9">
        <f t="shared" si="29"/>
        <v>0.8</v>
      </c>
      <c r="D265" s="9">
        <v>22.8</v>
      </c>
      <c r="E265" s="9">
        <f t="shared" si="30"/>
        <v>58.075389743031266</v>
      </c>
      <c r="F265" s="9">
        <v>27.3</v>
      </c>
      <c r="G265" s="9">
        <f t="shared" si="31"/>
        <v>57.973865915373267</v>
      </c>
      <c r="H265" s="9">
        <v>19.7</v>
      </c>
      <c r="I265" s="9">
        <f t="shared" si="32"/>
        <v>58.502191552572668</v>
      </c>
      <c r="J265" s="9">
        <v>0</v>
      </c>
      <c r="K265" s="9">
        <f t="shared" si="33"/>
        <v>47.055956573373379</v>
      </c>
      <c r="L265" s="6">
        <f t="shared" ca="1" si="34"/>
        <v>161</v>
      </c>
    </row>
    <row r="266" spans="1:12" ht="18.25" customHeight="1">
      <c r="A266" s="7">
        <v>43729</v>
      </c>
      <c r="B266" s="8">
        <f t="shared" si="28"/>
        <v>7</v>
      </c>
      <c r="C266" s="9">
        <f t="shared" si="29"/>
        <v>1.2</v>
      </c>
      <c r="D266" s="9">
        <v>21.8</v>
      </c>
      <c r="E266" s="9">
        <f t="shared" si="30"/>
        <v>56.794640087948963</v>
      </c>
      <c r="F266" s="9">
        <v>24.1</v>
      </c>
      <c r="G266" s="9">
        <f t="shared" si="31"/>
        <v>53.959955908410386</v>
      </c>
      <c r="H266" s="9">
        <v>19.899999999999999</v>
      </c>
      <c r="I266" s="9">
        <f t="shared" si="32"/>
        <v>58.749525570002262</v>
      </c>
      <c r="J266" s="9">
        <v>0</v>
      </c>
      <c r="K266" s="9">
        <f t="shared" si="33"/>
        <v>47.055956573373379</v>
      </c>
      <c r="L266" s="6">
        <f t="shared" ca="1" si="34"/>
        <v>210</v>
      </c>
    </row>
    <row r="267" spans="1:12" ht="18.25" customHeight="1">
      <c r="A267" s="7">
        <v>43730</v>
      </c>
      <c r="B267" s="8">
        <f t="shared" si="28"/>
        <v>1</v>
      </c>
      <c r="C267" s="9">
        <f t="shared" si="29"/>
        <v>1.5</v>
      </c>
      <c r="D267" s="9">
        <v>22.4</v>
      </c>
      <c r="E267" s="9">
        <f t="shared" si="30"/>
        <v>57.563089880998341</v>
      </c>
      <c r="F267" s="9">
        <v>28.5</v>
      </c>
      <c r="G267" s="9">
        <f t="shared" si="31"/>
        <v>59.479082167984345</v>
      </c>
      <c r="H267" s="9">
        <v>18.399999999999999</v>
      </c>
      <c r="I267" s="9">
        <f t="shared" si="32"/>
        <v>56.894520439280356</v>
      </c>
      <c r="J267" s="9">
        <v>17</v>
      </c>
      <c r="K267" s="9">
        <f t="shared" si="33"/>
        <v>56.803976563884675</v>
      </c>
      <c r="L267" s="6">
        <f t="shared" ca="1" si="34"/>
        <v>213</v>
      </c>
    </row>
    <row r="268" spans="1:12" ht="18.25" customHeight="1">
      <c r="A268" s="7">
        <v>43731</v>
      </c>
      <c r="B268" s="8">
        <f t="shared" si="28"/>
        <v>2</v>
      </c>
      <c r="C268" s="9">
        <f t="shared" si="29"/>
        <v>0.6</v>
      </c>
      <c r="D268" s="9">
        <v>26</v>
      </c>
      <c r="E268" s="9">
        <f t="shared" si="30"/>
        <v>62.173788639294628</v>
      </c>
      <c r="F268" s="9">
        <v>30.7</v>
      </c>
      <c r="G268" s="9">
        <f t="shared" si="31"/>
        <v>62.23864529777132</v>
      </c>
      <c r="H268" s="9">
        <v>20.399999999999999</v>
      </c>
      <c r="I268" s="9">
        <f t="shared" si="32"/>
        <v>59.367860613576227</v>
      </c>
      <c r="J268" s="9">
        <v>3.5</v>
      </c>
      <c r="K268" s="9">
        <f t="shared" si="33"/>
        <v>49.062901865537469</v>
      </c>
      <c r="L268" s="6">
        <f t="shared" ca="1" si="34"/>
        <v>152</v>
      </c>
    </row>
    <row r="269" spans="1:12" ht="18.25" customHeight="1">
      <c r="A269" s="7">
        <v>43732</v>
      </c>
      <c r="B269" s="8">
        <f t="shared" si="28"/>
        <v>3</v>
      </c>
      <c r="C269" s="9">
        <f t="shared" si="29"/>
        <v>0.8</v>
      </c>
      <c r="D269" s="9">
        <v>25.4</v>
      </c>
      <c r="E269" s="9">
        <f t="shared" si="30"/>
        <v>61.405338846245243</v>
      </c>
      <c r="F269" s="9">
        <v>30.9</v>
      </c>
      <c r="G269" s="9">
        <f t="shared" si="31"/>
        <v>62.4895146732065</v>
      </c>
      <c r="H269" s="9">
        <v>22.6</v>
      </c>
      <c r="I269" s="9">
        <f t="shared" si="32"/>
        <v>62.088534805301691</v>
      </c>
      <c r="J269" s="9">
        <v>1</v>
      </c>
      <c r="K269" s="9">
        <f t="shared" si="33"/>
        <v>47.629369513991691</v>
      </c>
      <c r="L269" s="6">
        <f t="shared" ca="1" si="34"/>
        <v>177</v>
      </c>
    </row>
    <row r="270" spans="1:12" ht="18.25" customHeight="1">
      <c r="A270" s="7">
        <v>43733</v>
      </c>
      <c r="B270" s="8">
        <f t="shared" si="28"/>
        <v>4</v>
      </c>
      <c r="C270" s="9">
        <f t="shared" si="29"/>
        <v>1</v>
      </c>
      <c r="D270" s="9">
        <v>24.3</v>
      </c>
      <c r="E270" s="9">
        <f t="shared" si="30"/>
        <v>59.996514225654714</v>
      </c>
      <c r="F270" s="9">
        <v>28.9</v>
      </c>
      <c r="G270" s="9">
        <f t="shared" si="31"/>
        <v>59.980820918854704</v>
      </c>
      <c r="H270" s="9">
        <v>20.8</v>
      </c>
      <c r="I270" s="9">
        <f t="shared" si="32"/>
        <v>59.862528648435401</v>
      </c>
      <c r="J270" s="9">
        <v>0</v>
      </c>
      <c r="K270" s="9">
        <f t="shared" si="33"/>
        <v>47.055956573373379</v>
      </c>
      <c r="L270" s="6">
        <f t="shared" ca="1" si="34"/>
        <v>205</v>
      </c>
    </row>
    <row r="271" spans="1:12" ht="18.25" customHeight="1">
      <c r="A271" s="7">
        <v>43734</v>
      </c>
      <c r="B271" s="8">
        <f t="shared" si="28"/>
        <v>5</v>
      </c>
      <c r="C271" s="9">
        <f t="shared" si="29"/>
        <v>0.8</v>
      </c>
      <c r="D271" s="9">
        <v>22.8</v>
      </c>
      <c r="E271" s="9">
        <f t="shared" si="30"/>
        <v>58.075389743031266</v>
      </c>
      <c r="F271" s="9">
        <v>27.4</v>
      </c>
      <c r="G271" s="9">
        <f t="shared" si="31"/>
        <v>58.099300603090853</v>
      </c>
      <c r="H271" s="9">
        <v>19.600000000000001</v>
      </c>
      <c r="I271" s="9">
        <f t="shared" si="32"/>
        <v>58.378524543857878</v>
      </c>
      <c r="J271" s="9">
        <v>0</v>
      </c>
      <c r="K271" s="9">
        <f t="shared" si="33"/>
        <v>47.055956573373379</v>
      </c>
      <c r="L271" s="6">
        <f t="shared" ca="1" si="34"/>
        <v>175</v>
      </c>
    </row>
    <row r="272" spans="1:12" ht="18.25" customHeight="1">
      <c r="A272" s="7">
        <v>43735</v>
      </c>
      <c r="B272" s="8">
        <f t="shared" si="28"/>
        <v>6</v>
      </c>
      <c r="C272" s="9">
        <f t="shared" si="29"/>
        <v>0.8</v>
      </c>
      <c r="D272" s="9">
        <v>23</v>
      </c>
      <c r="E272" s="9">
        <f t="shared" si="30"/>
        <v>58.331539674047718</v>
      </c>
      <c r="F272" s="9">
        <v>28.1</v>
      </c>
      <c r="G272" s="9">
        <f t="shared" si="31"/>
        <v>58.977343417113985</v>
      </c>
      <c r="H272" s="9">
        <v>18.2</v>
      </c>
      <c r="I272" s="9">
        <f t="shared" si="32"/>
        <v>56.647186421850769</v>
      </c>
      <c r="J272" s="9">
        <v>0</v>
      </c>
      <c r="K272" s="9">
        <f t="shared" si="33"/>
        <v>47.055956573373379</v>
      </c>
      <c r="L272" s="6">
        <f t="shared" ca="1" si="34"/>
        <v>171</v>
      </c>
    </row>
    <row r="273" spans="1:12" ht="18.25" customHeight="1">
      <c r="A273" s="7">
        <v>43736</v>
      </c>
      <c r="B273" s="8">
        <f t="shared" si="28"/>
        <v>7</v>
      </c>
      <c r="C273" s="9">
        <f t="shared" si="29"/>
        <v>1.2</v>
      </c>
      <c r="D273" s="9">
        <v>24.4</v>
      </c>
      <c r="E273" s="9">
        <f t="shared" si="30"/>
        <v>60.12458919116294</v>
      </c>
      <c r="F273" s="9">
        <v>29.6</v>
      </c>
      <c r="G273" s="9">
        <f t="shared" si="31"/>
        <v>60.858863732877836</v>
      </c>
      <c r="H273" s="9">
        <v>20</v>
      </c>
      <c r="I273" s="9">
        <f t="shared" si="32"/>
        <v>58.873192578717052</v>
      </c>
      <c r="J273" s="9">
        <v>0</v>
      </c>
      <c r="K273" s="9">
        <f t="shared" si="33"/>
        <v>47.055956573373379</v>
      </c>
      <c r="L273" s="6">
        <f t="shared" ca="1" si="34"/>
        <v>230</v>
      </c>
    </row>
    <row r="274" spans="1:12" ht="18.25" customHeight="1">
      <c r="A274" s="7">
        <v>43737</v>
      </c>
      <c r="B274" s="8">
        <f t="shared" si="28"/>
        <v>1</v>
      </c>
      <c r="C274" s="9">
        <f t="shared" si="29"/>
        <v>1.5</v>
      </c>
      <c r="D274" s="9">
        <v>24.7</v>
      </c>
      <c r="E274" s="9">
        <f t="shared" si="30"/>
        <v>60.508814087687632</v>
      </c>
      <c r="F274" s="9">
        <v>27.7</v>
      </c>
      <c r="G274" s="9">
        <f t="shared" si="31"/>
        <v>58.475604666243626</v>
      </c>
      <c r="H274" s="9">
        <v>22.4</v>
      </c>
      <c r="I274" s="9">
        <f t="shared" si="32"/>
        <v>61.841200787872097</v>
      </c>
      <c r="J274" s="9">
        <v>0</v>
      </c>
      <c r="K274" s="9">
        <f t="shared" si="33"/>
        <v>47.055956573373379</v>
      </c>
      <c r="L274" s="6">
        <f t="shared" ca="1" si="34"/>
        <v>270</v>
      </c>
    </row>
    <row r="275" spans="1:12" ht="18.25" customHeight="1">
      <c r="A275" s="7">
        <v>43738</v>
      </c>
      <c r="B275" s="8">
        <f t="shared" si="28"/>
        <v>2</v>
      </c>
      <c r="C275" s="9">
        <f t="shared" si="29"/>
        <v>0.6</v>
      </c>
      <c r="D275" s="9">
        <v>25.2</v>
      </c>
      <c r="E275" s="9">
        <f t="shared" si="30"/>
        <v>61.149188915228784</v>
      </c>
      <c r="F275" s="9">
        <v>29.7</v>
      </c>
      <c r="G275" s="9">
        <f t="shared" si="31"/>
        <v>60.984298420595422</v>
      </c>
      <c r="H275" s="9">
        <v>21.4</v>
      </c>
      <c r="I275" s="9">
        <f t="shared" si="32"/>
        <v>60.604530700724162</v>
      </c>
      <c r="J275" s="9">
        <v>0</v>
      </c>
      <c r="K275" s="9">
        <f t="shared" si="33"/>
        <v>47.055956573373379</v>
      </c>
      <c r="L275" s="6">
        <f t="shared" ca="1" si="34"/>
        <v>153</v>
      </c>
    </row>
    <row r="276" spans="1:12" ht="18.25" customHeight="1">
      <c r="A276" s="7">
        <v>43739</v>
      </c>
      <c r="B276" s="8">
        <f t="shared" si="28"/>
        <v>3</v>
      </c>
      <c r="C276" s="9">
        <f t="shared" si="29"/>
        <v>0.8</v>
      </c>
      <c r="D276" s="9">
        <v>24.5</v>
      </c>
      <c r="E276" s="9">
        <f t="shared" si="30"/>
        <v>60.252664156671173</v>
      </c>
      <c r="F276" s="9">
        <v>30.1</v>
      </c>
      <c r="G276" s="9">
        <f t="shared" si="31"/>
        <v>61.486037171465782</v>
      </c>
      <c r="H276" s="9">
        <v>20.9</v>
      </c>
      <c r="I276" s="9">
        <f t="shared" si="32"/>
        <v>59.986195657150191</v>
      </c>
      <c r="J276" s="9">
        <v>0</v>
      </c>
      <c r="K276" s="9">
        <f t="shared" si="33"/>
        <v>47.055956573373379</v>
      </c>
      <c r="L276" s="6">
        <f t="shared" ca="1" si="34"/>
        <v>166</v>
      </c>
    </row>
    <row r="277" spans="1:12" ht="18.25" customHeight="1">
      <c r="A277" s="7">
        <v>43740</v>
      </c>
      <c r="B277" s="8">
        <f t="shared" si="28"/>
        <v>4</v>
      </c>
      <c r="C277" s="9">
        <f t="shared" si="29"/>
        <v>1</v>
      </c>
      <c r="D277" s="9">
        <v>23.9</v>
      </c>
      <c r="E277" s="9">
        <f t="shared" si="30"/>
        <v>59.484214363621788</v>
      </c>
      <c r="F277" s="9">
        <v>29.6</v>
      </c>
      <c r="G277" s="9">
        <f t="shared" si="31"/>
        <v>60.858863732877836</v>
      </c>
      <c r="H277" s="9">
        <v>20.399999999999999</v>
      </c>
      <c r="I277" s="9">
        <f t="shared" si="32"/>
        <v>59.367860613576227</v>
      </c>
      <c r="J277" s="9">
        <v>0</v>
      </c>
      <c r="K277" s="9">
        <f t="shared" si="33"/>
        <v>47.055956573373379</v>
      </c>
      <c r="L277" s="6">
        <f t="shared" ca="1" si="34"/>
        <v>204</v>
      </c>
    </row>
    <row r="278" spans="1:12" ht="18.25" customHeight="1">
      <c r="A278" s="7">
        <v>43741</v>
      </c>
      <c r="B278" s="8">
        <f t="shared" si="28"/>
        <v>5</v>
      </c>
      <c r="C278" s="9">
        <f t="shared" si="29"/>
        <v>0.8</v>
      </c>
      <c r="D278" s="9">
        <v>24.5</v>
      </c>
      <c r="E278" s="9">
        <f t="shared" si="30"/>
        <v>60.252664156671173</v>
      </c>
      <c r="F278" s="9">
        <v>28.3</v>
      </c>
      <c r="G278" s="9">
        <f t="shared" si="31"/>
        <v>59.228212792549165</v>
      </c>
      <c r="H278" s="9">
        <v>20.6</v>
      </c>
      <c r="I278" s="9">
        <f t="shared" si="32"/>
        <v>59.615194631005821</v>
      </c>
      <c r="J278" s="9">
        <v>0</v>
      </c>
      <c r="K278" s="9">
        <f t="shared" si="33"/>
        <v>47.055956573373379</v>
      </c>
      <c r="L278" s="6">
        <f t="shared" ca="1" si="34"/>
        <v>171</v>
      </c>
    </row>
    <row r="279" spans="1:12" ht="18.25" customHeight="1">
      <c r="A279" s="7">
        <v>43742</v>
      </c>
      <c r="B279" s="8">
        <f t="shared" si="28"/>
        <v>6</v>
      </c>
      <c r="C279" s="9">
        <f t="shared" si="29"/>
        <v>0.8</v>
      </c>
      <c r="D279" s="9">
        <v>24.8</v>
      </c>
      <c r="E279" s="9">
        <f t="shared" si="30"/>
        <v>60.636889053195866</v>
      </c>
      <c r="F279" s="9">
        <v>29.4</v>
      </c>
      <c r="G279" s="9">
        <f t="shared" si="31"/>
        <v>60.607994357442649</v>
      </c>
      <c r="H279" s="9">
        <v>21.5</v>
      </c>
      <c r="I279" s="9">
        <f t="shared" si="32"/>
        <v>60.728197709438959</v>
      </c>
      <c r="J279" s="9">
        <v>10</v>
      </c>
      <c r="K279" s="9">
        <f t="shared" si="33"/>
        <v>52.790085979556494</v>
      </c>
      <c r="L279" s="6">
        <f t="shared" ca="1" si="34"/>
        <v>170</v>
      </c>
    </row>
    <row r="280" spans="1:12" ht="18.25" customHeight="1">
      <c r="A280" s="7">
        <v>43743</v>
      </c>
      <c r="B280" s="8">
        <f t="shared" si="28"/>
        <v>7</v>
      </c>
      <c r="C280" s="9">
        <f t="shared" si="29"/>
        <v>1.2</v>
      </c>
      <c r="D280" s="9">
        <v>26.1</v>
      </c>
      <c r="E280" s="9">
        <f t="shared" si="30"/>
        <v>62.301863604802861</v>
      </c>
      <c r="F280" s="9">
        <v>30.3</v>
      </c>
      <c r="G280" s="9">
        <f t="shared" si="31"/>
        <v>61.736906546900961</v>
      </c>
      <c r="H280" s="9">
        <v>21.5</v>
      </c>
      <c r="I280" s="9">
        <f t="shared" si="32"/>
        <v>60.728197709438959</v>
      </c>
      <c r="J280" s="9">
        <v>0</v>
      </c>
      <c r="K280" s="9">
        <f t="shared" si="33"/>
        <v>47.055956573373379</v>
      </c>
      <c r="L280" s="6">
        <f t="shared" ca="1" si="34"/>
        <v>233</v>
      </c>
    </row>
    <row r="281" spans="1:12" ht="18.25" customHeight="1">
      <c r="A281" s="7">
        <v>43744</v>
      </c>
      <c r="B281" s="8">
        <f t="shared" si="28"/>
        <v>1</v>
      </c>
      <c r="C281" s="9">
        <f t="shared" si="29"/>
        <v>1.5</v>
      </c>
      <c r="D281" s="9">
        <v>20.5</v>
      </c>
      <c r="E281" s="9">
        <f t="shared" si="30"/>
        <v>55.129665536341967</v>
      </c>
      <c r="F281" s="9">
        <v>23.3</v>
      </c>
      <c r="G281" s="9">
        <f t="shared" si="31"/>
        <v>52.956478406669667</v>
      </c>
      <c r="H281" s="9">
        <v>18.7</v>
      </c>
      <c r="I281" s="9">
        <f t="shared" si="32"/>
        <v>57.26552146542474</v>
      </c>
      <c r="J281" s="9">
        <v>5.5</v>
      </c>
      <c r="K281" s="9">
        <f t="shared" si="33"/>
        <v>50.209727746774092</v>
      </c>
      <c r="L281" s="6">
        <f t="shared" ca="1" si="34"/>
        <v>222</v>
      </c>
    </row>
    <row r="282" spans="1:12" ht="18.25" customHeight="1">
      <c r="A282" s="7">
        <v>43745</v>
      </c>
      <c r="B282" s="8">
        <f t="shared" si="28"/>
        <v>2</v>
      </c>
      <c r="C282" s="9">
        <f t="shared" si="29"/>
        <v>0.6</v>
      </c>
      <c r="D282" s="9">
        <v>20</v>
      </c>
      <c r="E282" s="9">
        <f t="shared" si="30"/>
        <v>54.489290708800816</v>
      </c>
      <c r="F282" s="9">
        <v>25</v>
      </c>
      <c r="G282" s="9">
        <f t="shared" si="31"/>
        <v>55.088868097868698</v>
      </c>
      <c r="H282" s="9">
        <v>17.3</v>
      </c>
      <c r="I282" s="9">
        <f t="shared" si="32"/>
        <v>55.534183343417631</v>
      </c>
      <c r="J282" s="9">
        <v>7</v>
      </c>
      <c r="K282" s="9">
        <f t="shared" si="33"/>
        <v>51.06984715770156</v>
      </c>
      <c r="L282" s="6">
        <f t="shared" ca="1" si="34"/>
        <v>131</v>
      </c>
    </row>
    <row r="283" spans="1:12" ht="18.25" customHeight="1">
      <c r="A283" s="7">
        <v>43746</v>
      </c>
      <c r="B283" s="8">
        <f t="shared" si="28"/>
        <v>3</v>
      </c>
      <c r="C283" s="9">
        <f t="shared" si="29"/>
        <v>0.8</v>
      </c>
      <c r="D283" s="9">
        <v>21.7</v>
      </c>
      <c r="E283" s="9">
        <f t="shared" si="30"/>
        <v>56.66656512244073</v>
      </c>
      <c r="F283" s="9">
        <v>27.1</v>
      </c>
      <c r="G283" s="9">
        <f t="shared" si="31"/>
        <v>57.722996539938087</v>
      </c>
      <c r="H283" s="9">
        <v>18.2</v>
      </c>
      <c r="I283" s="9">
        <f t="shared" si="32"/>
        <v>56.647186421850769</v>
      </c>
      <c r="J283" s="9">
        <v>5.5</v>
      </c>
      <c r="K283" s="9">
        <f t="shared" si="33"/>
        <v>50.209727746774092</v>
      </c>
      <c r="L283" s="6">
        <f t="shared" ca="1" si="34"/>
        <v>167</v>
      </c>
    </row>
    <row r="284" spans="1:12" ht="18.25" customHeight="1">
      <c r="A284" s="7">
        <v>43747</v>
      </c>
      <c r="B284" s="8">
        <f t="shared" si="28"/>
        <v>4</v>
      </c>
      <c r="C284" s="9">
        <f t="shared" si="29"/>
        <v>1</v>
      </c>
      <c r="D284" s="9">
        <v>20.8</v>
      </c>
      <c r="E284" s="9">
        <f t="shared" si="30"/>
        <v>55.51389043286666</v>
      </c>
      <c r="F284" s="9">
        <v>25.1</v>
      </c>
      <c r="G284" s="9">
        <f t="shared" si="31"/>
        <v>55.214302785586284</v>
      </c>
      <c r="H284" s="9">
        <v>17</v>
      </c>
      <c r="I284" s="9">
        <f t="shared" si="32"/>
        <v>55.163182317273254</v>
      </c>
      <c r="J284" s="9">
        <v>0</v>
      </c>
      <c r="K284" s="9">
        <f t="shared" si="33"/>
        <v>47.055956573373379</v>
      </c>
      <c r="L284" s="6">
        <f t="shared" ca="1" si="34"/>
        <v>181</v>
      </c>
    </row>
    <row r="285" spans="1:12" ht="18.25" customHeight="1">
      <c r="A285" s="7">
        <v>43748</v>
      </c>
      <c r="B285" s="8">
        <f t="shared" si="28"/>
        <v>5</v>
      </c>
      <c r="C285" s="9">
        <f t="shared" si="29"/>
        <v>0.8</v>
      </c>
      <c r="D285" s="9">
        <v>19.399999999999999</v>
      </c>
      <c r="E285" s="9">
        <f t="shared" si="30"/>
        <v>53.720840915751431</v>
      </c>
      <c r="F285" s="9">
        <v>25.2</v>
      </c>
      <c r="G285" s="9">
        <f t="shared" si="31"/>
        <v>55.339737473303877</v>
      </c>
      <c r="H285" s="9">
        <v>15</v>
      </c>
      <c r="I285" s="9">
        <f t="shared" si="32"/>
        <v>52.689842142977383</v>
      </c>
      <c r="J285" s="9">
        <v>9</v>
      </c>
      <c r="K285" s="9">
        <f t="shared" si="33"/>
        <v>52.216673038938183</v>
      </c>
      <c r="L285" s="6">
        <f t="shared" ca="1" si="34"/>
        <v>145</v>
      </c>
    </row>
    <row r="286" spans="1:12" ht="18.25" customHeight="1">
      <c r="A286" s="7">
        <v>43749</v>
      </c>
      <c r="B286" s="8">
        <f t="shared" si="28"/>
        <v>6</v>
      </c>
      <c r="C286" s="9">
        <f t="shared" si="29"/>
        <v>0.8</v>
      </c>
      <c r="D286" s="9">
        <v>19.600000000000001</v>
      </c>
      <c r="E286" s="9">
        <f t="shared" si="30"/>
        <v>53.976990846767897</v>
      </c>
      <c r="F286" s="9">
        <v>21.7</v>
      </c>
      <c r="G286" s="9">
        <f t="shared" si="31"/>
        <v>50.94952340318823</v>
      </c>
      <c r="H286" s="9">
        <v>16.3</v>
      </c>
      <c r="I286" s="9">
        <f t="shared" si="32"/>
        <v>54.297513256269696</v>
      </c>
      <c r="J286" s="9">
        <v>7.5</v>
      </c>
      <c r="K286" s="9">
        <f t="shared" si="33"/>
        <v>51.356553628010715</v>
      </c>
      <c r="L286" s="6">
        <f t="shared" ca="1" si="34"/>
        <v>139</v>
      </c>
    </row>
    <row r="287" spans="1:12" ht="18.25" customHeight="1">
      <c r="A287" s="7">
        <v>43750</v>
      </c>
      <c r="B287" s="8">
        <f t="shared" si="28"/>
        <v>7</v>
      </c>
      <c r="C287" s="9">
        <f t="shared" si="29"/>
        <v>1.2</v>
      </c>
      <c r="D287" s="9">
        <v>23.3</v>
      </c>
      <c r="E287" s="9">
        <f t="shared" si="30"/>
        <v>58.715764570572411</v>
      </c>
      <c r="F287" s="9">
        <v>25.2</v>
      </c>
      <c r="G287" s="9">
        <f t="shared" si="31"/>
        <v>55.339737473303877</v>
      </c>
      <c r="H287" s="9">
        <v>20.7</v>
      </c>
      <c r="I287" s="9">
        <f t="shared" si="32"/>
        <v>59.738861639720611</v>
      </c>
      <c r="J287" s="9">
        <v>209.5</v>
      </c>
      <c r="K287" s="9">
        <f t="shared" si="33"/>
        <v>167.18596763290967</v>
      </c>
      <c r="L287" s="6">
        <f t="shared" ca="1" si="34"/>
        <v>13</v>
      </c>
    </row>
    <row r="288" spans="1:12" ht="18.25" customHeight="1">
      <c r="A288" s="7">
        <v>43751</v>
      </c>
      <c r="B288" s="8">
        <f t="shared" si="28"/>
        <v>1</v>
      </c>
      <c r="C288" s="9">
        <f t="shared" si="29"/>
        <v>1.5</v>
      </c>
      <c r="D288" s="9">
        <v>24.5</v>
      </c>
      <c r="E288" s="9">
        <f t="shared" si="30"/>
        <v>60.252664156671173</v>
      </c>
      <c r="F288" s="9">
        <v>28.5</v>
      </c>
      <c r="G288" s="9">
        <f t="shared" si="31"/>
        <v>59.479082167984345</v>
      </c>
      <c r="H288" s="9">
        <v>19.399999999999999</v>
      </c>
      <c r="I288" s="9">
        <f t="shared" si="32"/>
        <v>58.131190526428291</v>
      </c>
      <c r="J288" s="9">
        <v>0</v>
      </c>
      <c r="K288" s="9">
        <f t="shared" si="33"/>
        <v>47.055956573373379</v>
      </c>
      <c r="L288" s="6">
        <f t="shared" ca="1" si="34"/>
        <v>261</v>
      </c>
    </row>
    <row r="289" spans="1:12" ht="18.25" customHeight="1">
      <c r="A289" s="7">
        <v>43752</v>
      </c>
      <c r="B289" s="8">
        <f t="shared" si="28"/>
        <v>2</v>
      </c>
      <c r="C289" s="9">
        <f t="shared" si="29"/>
        <v>0.6</v>
      </c>
      <c r="D289" s="9">
        <v>17</v>
      </c>
      <c r="E289" s="9">
        <f t="shared" si="30"/>
        <v>50.647041743553906</v>
      </c>
      <c r="F289" s="9">
        <v>20.2</v>
      </c>
      <c r="G289" s="9">
        <f t="shared" si="31"/>
        <v>49.06800308742438</v>
      </c>
      <c r="H289" s="9">
        <v>15.4</v>
      </c>
      <c r="I289" s="9">
        <f t="shared" si="32"/>
        <v>53.184510177836557</v>
      </c>
      <c r="J289" s="9">
        <v>5</v>
      </c>
      <c r="K289" s="9">
        <f t="shared" si="33"/>
        <v>49.923021276464937</v>
      </c>
      <c r="L289" s="6">
        <f t="shared" ca="1" si="34"/>
        <v>130</v>
      </c>
    </row>
    <row r="290" spans="1:12" ht="18.25" customHeight="1">
      <c r="A290" s="7">
        <v>43753</v>
      </c>
      <c r="B290" s="8">
        <f t="shared" si="28"/>
        <v>3</v>
      </c>
      <c r="C290" s="9">
        <f t="shared" si="29"/>
        <v>0.8</v>
      </c>
      <c r="D290" s="9">
        <v>18.399999999999999</v>
      </c>
      <c r="E290" s="9">
        <f t="shared" si="30"/>
        <v>52.440091260669128</v>
      </c>
      <c r="F290" s="9">
        <v>23</v>
      </c>
      <c r="G290" s="9">
        <f t="shared" si="31"/>
        <v>52.580174343516894</v>
      </c>
      <c r="H290" s="9">
        <v>16.2</v>
      </c>
      <c r="I290" s="9">
        <f t="shared" si="32"/>
        <v>54.173846247554899</v>
      </c>
      <c r="J290" s="9">
        <v>0</v>
      </c>
      <c r="K290" s="9">
        <f t="shared" si="33"/>
        <v>47.055956573373379</v>
      </c>
      <c r="L290" s="6">
        <f t="shared" ca="1" si="34"/>
        <v>156</v>
      </c>
    </row>
    <row r="291" spans="1:12" ht="18.25" customHeight="1">
      <c r="A291" s="7">
        <v>43754</v>
      </c>
      <c r="B291" s="8">
        <f t="shared" si="28"/>
        <v>4</v>
      </c>
      <c r="C291" s="9">
        <f t="shared" si="29"/>
        <v>1</v>
      </c>
      <c r="D291" s="9">
        <v>16.100000000000001</v>
      </c>
      <c r="E291" s="9">
        <f t="shared" si="30"/>
        <v>49.494367053979836</v>
      </c>
      <c r="F291" s="9">
        <v>18.5</v>
      </c>
      <c r="G291" s="9">
        <f t="shared" si="31"/>
        <v>46.935613396225349</v>
      </c>
      <c r="H291" s="9">
        <v>14.6</v>
      </c>
      <c r="I291" s="9">
        <f t="shared" si="32"/>
        <v>52.195174108118202</v>
      </c>
      <c r="J291" s="9">
        <v>0</v>
      </c>
      <c r="K291" s="9">
        <f t="shared" si="33"/>
        <v>47.055956573373379</v>
      </c>
      <c r="L291" s="6">
        <f t="shared" ca="1" si="34"/>
        <v>180</v>
      </c>
    </row>
    <row r="292" spans="1:12" ht="18.25" customHeight="1">
      <c r="A292" s="7">
        <v>43755</v>
      </c>
      <c r="B292" s="8">
        <f t="shared" si="28"/>
        <v>5</v>
      </c>
      <c r="C292" s="9">
        <f t="shared" si="29"/>
        <v>0.8</v>
      </c>
      <c r="D292" s="9">
        <v>16.2</v>
      </c>
      <c r="E292" s="9">
        <f t="shared" si="30"/>
        <v>49.622442019488069</v>
      </c>
      <c r="F292" s="9">
        <v>18.399999999999999</v>
      </c>
      <c r="G292" s="9">
        <f t="shared" si="31"/>
        <v>46.810178708507756</v>
      </c>
      <c r="H292" s="9">
        <v>15.1</v>
      </c>
      <c r="I292" s="9">
        <f t="shared" si="32"/>
        <v>52.813509151692173</v>
      </c>
      <c r="J292" s="9">
        <v>4.5</v>
      </c>
      <c r="K292" s="9">
        <f t="shared" si="33"/>
        <v>49.636314806155781</v>
      </c>
      <c r="L292" s="6">
        <f t="shared" ca="1" si="34"/>
        <v>139</v>
      </c>
    </row>
    <row r="293" spans="1:12" ht="18.25" customHeight="1">
      <c r="A293" s="7">
        <v>43756</v>
      </c>
      <c r="B293" s="8">
        <f t="shared" si="28"/>
        <v>6</v>
      </c>
      <c r="C293" s="9">
        <f t="shared" si="29"/>
        <v>0.8</v>
      </c>
      <c r="D293" s="9">
        <v>16.5</v>
      </c>
      <c r="E293" s="9">
        <f t="shared" si="30"/>
        <v>50.006666916012755</v>
      </c>
      <c r="F293" s="9">
        <v>19.5</v>
      </c>
      <c r="G293" s="9">
        <f t="shared" si="31"/>
        <v>48.189960273401248</v>
      </c>
      <c r="H293" s="9">
        <v>14.9</v>
      </c>
      <c r="I293" s="9">
        <f t="shared" si="32"/>
        <v>52.566175134262586</v>
      </c>
      <c r="J293" s="9">
        <v>5.5</v>
      </c>
      <c r="K293" s="9">
        <f t="shared" si="33"/>
        <v>50.209727746774092</v>
      </c>
      <c r="L293" s="6">
        <f t="shared" ca="1" si="34"/>
        <v>147</v>
      </c>
    </row>
    <row r="294" spans="1:12" ht="18.25" customHeight="1">
      <c r="A294" s="7">
        <v>43757</v>
      </c>
      <c r="B294" s="8">
        <f t="shared" si="28"/>
        <v>7</v>
      </c>
      <c r="C294" s="9">
        <f t="shared" si="29"/>
        <v>1.2</v>
      </c>
      <c r="D294" s="9">
        <v>17.399999999999999</v>
      </c>
      <c r="E294" s="9">
        <f t="shared" si="30"/>
        <v>51.159341605586825</v>
      </c>
      <c r="F294" s="9">
        <v>20.2</v>
      </c>
      <c r="G294" s="9">
        <f t="shared" si="31"/>
        <v>49.06800308742438</v>
      </c>
      <c r="H294" s="9">
        <v>14.6</v>
      </c>
      <c r="I294" s="9">
        <f t="shared" si="32"/>
        <v>52.195174108118202</v>
      </c>
      <c r="J294" s="9">
        <v>53.5</v>
      </c>
      <c r="K294" s="9">
        <f t="shared" si="33"/>
        <v>77.733548896453044</v>
      </c>
      <c r="L294" s="6">
        <f t="shared" ca="1" si="34"/>
        <v>147</v>
      </c>
    </row>
    <row r="295" spans="1:12" ht="18.25" customHeight="1">
      <c r="A295" s="7">
        <v>43758</v>
      </c>
      <c r="B295" s="8">
        <f t="shared" si="28"/>
        <v>1</v>
      </c>
      <c r="C295" s="9">
        <f t="shared" si="29"/>
        <v>1.5</v>
      </c>
      <c r="D295" s="9">
        <v>20.100000000000001</v>
      </c>
      <c r="E295" s="9">
        <f t="shared" si="30"/>
        <v>54.617365674309049</v>
      </c>
      <c r="F295" s="9">
        <v>23.9</v>
      </c>
      <c r="G295" s="9">
        <f t="shared" si="31"/>
        <v>53.709086532975206</v>
      </c>
      <c r="H295" s="9">
        <v>17.7</v>
      </c>
      <c r="I295" s="9">
        <f t="shared" si="32"/>
        <v>56.028851378276805</v>
      </c>
      <c r="J295" s="9">
        <v>0</v>
      </c>
      <c r="K295" s="9">
        <f t="shared" si="33"/>
        <v>47.055956573373379</v>
      </c>
      <c r="L295" s="6">
        <f t="shared" ca="1" si="34"/>
        <v>237</v>
      </c>
    </row>
    <row r="296" spans="1:12" ht="18.25" customHeight="1">
      <c r="A296" s="7">
        <v>43759</v>
      </c>
      <c r="B296" s="8">
        <f t="shared" si="28"/>
        <v>2</v>
      </c>
      <c r="C296" s="9">
        <f t="shared" si="29"/>
        <v>0.6</v>
      </c>
      <c r="D296" s="9">
        <v>18.2</v>
      </c>
      <c r="E296" s="9">
        <f t="shared" si="30"/>
        <v>52.183941329652669</v>
      </c>
      <c r="F296" s="9">
        <v>21.3</v>
      </c>
      <c r="G296" s="9">
        <f t="shared" si="31"/>
        <v>50.447784652317871</v>
      </c>
      <c r="H296" s="9">
        <v>14.9</v>
      </c>
      <c r="I296" s="9">
        <f t="shared" si="32"/>
        <v>52.566175134262586</v>
      </c>
      <c r="J296" s="9">
        <v>6.5</v>
      </c>
      <c r="K296" s="9">
        <f t="shared" si="33"/>
        <v>50.783140687392404</v>
      </c>
      <c r="L296" s="6">
        <f t="shared" ca="1" si="34"/>
        <v>113</v>
      </c>
    </row>
    <row r="297" spans="1:12" ht="18.25" customHeight="1">
      <c r="A297" s="7">
        <v>43760</v>
      </c>
      <c r="B297" s="8">
        <f t="shared" si="28"/>
        <v>3</v>
      </c>
      <c r="C297" s="9">
        <f t="shared" si="29"/>
        <v>0.8</v>
      </c>
      <c r="D297" s="9">
        <v>15.4</v>
      </c>
      <c r="E297" s="9">
        <f t="shared" si="30"/>
        <v>48.597842295422225</v>
      </c>
      <c r="F297" s="9">
        <v>17.2</v>
      </c>
      <c r="G297" s="9">
        <f t="shared" si="31"/>
        <v>45.304962455896678</v>
      </c>
      <c r="H297" s="9">
        <v>14.2</v>
      </c>
      <c r="I297" s="9">
        <f t="shared" si="32"/>
        <v>51.700506073259028</v>
      </c>
      <c r="J297" s="9">
        <v>65</v>
      </c>
      <c r="K297" s="9">
        <f t="shared" si="33"/>
        <v>84.327797713563626</v>
      </c>
      <c r="L297" s="6">
        <f t="shared" ca="1" si="34"/>
        <v>70</v>
      </c>
    </row>
    <row r="298" spans="1:12" ht="18.25" customHeight="1">
      <c r="A298" s="7">
        <v>43761</v>
      </c>
      <c r="B298" s="8">
        <f t="shared" si="28"/>
        <v>4</v>
      </c>
      <c r="C298" s="9">
        <f t="shared" si="29"/>
        <v>1</v>
      </c>
      <c r="D298" s="9">
        <v>18.5</v>
      </c>
      <c r="E298" s="9">
        <f t="shared" si="30"/>
        <v>52.568166226177361</v>
      </c>
      <c r="F298" s="9">
        <v>24.8</v>
      </c>
      <c r="G298" s="9">
        <f t="shared" si="31"/>
        <v>54.837998722433518</v>
      </c>
      <c r="H298" s="9">
        <v>12.4</v>
      </c>
      <c r="I298" s="9">
        <f t="shared" si="32"/>
        <v>49.474499916392752</v>
      </c>
      <c r="J298" s="9">
        <v>0</v>
      </c>
      <c r="K298" s="9">
        <f t="shared" si="33"/>
        <v>47.055956573373379</v>
      </c>
      <c r="L298" s="6">
        <f t="shared" ca="1" si="34"/>
        <v>183</v>
      </c>
    </row>
    <row r="299" spans="1:12" ht="18.25" customHeight="1">
      <c r="A299" s="7">
        <v>43762</v>
      </c>
      <c r="B299" s="8">
        <f t="shared" si="28"/>
        <v>5</v>
      </c>
      <c r="C299" s="9">
        <f t="shared" si="29"/>
        <v>0.8</v>
      </c>
      <c r="D299" s="9">
        <v>18.100000000000001</v>
      </c>
      <c r="E299" s="9">
        <f t="shared" si="30"/>
        <v>52.055866364144443</v>
      </c>
      <c r="F299" s="9">
        <v>21</v>
      </c>
      <c r="G299" s="9">
        <f t="shared" si="31"/>
        <v>50.071480589165098</v>
      </c>
      <c r="H299" s="9">
        <v>14.6</v>
      </c>
      <c r="I299" s="9">
        <f t="shared" si="32"/>
        <v>52.195174108118202</v>
      </c>
      <c r="J299" s="9">
        <v>3</v>
      </c>
      <c r="K299" s="9">
        <f t="shared" si="33"/>
        <v>48.776195395228314</v>
      </c>
      <c r="L299" s="6">
        <f t="shared" ca="1" si="34"/>
        <v>150</v>
      </c>
    </row>
    <row r="300" spans="1:12" ht="18.25" customHeight="1">
      <c r="A300" s="7">
        <v>43763</v>
      </c>
      <c r="B300" s="8">
        <f t="shared" si="28"/>
        <v>6</v>
      </c>
      <c r="C300" s="9">
        <f t="shared" si="29"/>
        <v>0.8</v>
      </c>
      <c r="D300" s="9">
        <v>15.1</v>
      </c>
      <c r="E300" s="9">
        <f t="shared" si="30"/>
        <v>48.213617398897533</v>
      </c>
      <c r="F300" s="9">
        <v>16.3</v>
      </c>
      <c r="G300" s="9">
        <f t="shared" si="31"/>
        <v>44.176050266438374</v>
      </c>
      <c r="H300" s="9">
        <v>14.5</v>
      </c>
      <c r="I300" s="9">
        <f t="shared" si="32"/>
        <v>52.071507099403412</v>
      </c>
      <c r="J300" s="9">
        <v>120.5</v>
      </c>
      <c r="K300" s="9">
        <f t="shared" si="33"/>
        <v>116.15221591787993</v>
      </c>
      <c r="L300" s="6">
        <f t="shared" ca="1" si="34"/>
        <v>8</v>
      </c>
    </row>
    <row r="301" spans="1:12" ht="18.25" customHeight="1">
      <c r="A301" s="7">
        <v>43764</v>
      </c>
      <c r="B301" s="8">
        <f t="shared" si="28"/>
        <v>7</v>
      </c>
      <c r="C301" s="9">
        <f t="shared" si="29"/>
        <v>1.2</v>
      </c>
      <c r="D301" s="9">
        <v>18.100000000000001</v>
      </c>
      <c r="E301" s="9">
        <f t="shared" si="30"/>
        <v>52.055866364144443</v>
      </c>
      <c r="F301" s="9">
        <v>24.5</v>
      </c>
      <c r="G301" s="9">
        <f t="shared" si="31"/>
        <v>54.461694659280745</v>
      </c>
      <c r="H301" s="9">
        <v>13.3</v>
      </c>
      <c r="I301" s="9">
        <f t="shared" si="32"/>
        <v>50.58750299482589</v>
      </c>
      <c r="J301" s="9">
        <v>0.5</v>
      </c>
      <c r="K301" s="9">
        <f t="shared" si="33"/>
        <v>47.342663043682535</v>
      </c>
      <c r="L301" s="6">
        <f t="shared" ca="1" si="34"/>
        <v>184</v>
      </c>
    </row>
    <row r="302" spans="1:12" ht="18.25" customHeight="1">
      <c r="A302" s="7">
        <v>43765</v>
      </c>
      <c r="B302" s="8">
        <f t="shared" si="28"/>
        <v>1</v>
      </c>
      <c r="C302" s="9">
        <f t="shared" si="29"/>
        <v>1.5</v>
      </c>
      <c r="D302" s="9">
        <v>18.3</v>
      </c>
      <c r="E302" s="9">
        <f t="shared" si="30"/>
        <v>52.312016295160902</v>
      </c>
      <c r="F302" s="9">
        <v>22.5</v>
      </c>
      <c r="G302" s="9">
        <f t="shared" si="31"/>
        <v>51.953000904928949</v>
      </c>
      <c r="H302" s="9">
        <v>15.8</v>
      </c>
      <c r="I302" s="9">
        <f t="shared" si="32"/>
        <v>53.679178212695732</v>
      </c>
      <c r="J302" s="9">
        <v>0</v>
      </c>
      <c r="K302" s="9">
        <f t="shared" si="33"/>
        <v>47.055956573373379</v>
      </c>
      <c r="L302" s="6">
        <f t="shared" ca="1" si="34"/>
        <v>213</v>
      </c>
    </row>
    <row r="303" spans="1:12" ht="18.25" customHeight="1">
      <c r="A303" s="7">
        <v>43766</v>
      </c>
      <c r="B303" s="8">
        <f t="shared" si="28"/>
        <v>2</v>
      </c>
      <c r="C303" s="9">
        <f t="shared" si="29"/>
        <v>0.6</v>
      </c>
      <c r="D303" s="9">
        <v>17.399999999999999</v>
      </c>
      <c r="E303" s="9">
        <f t="shared" si="30"/>
        <v>51.159341605586825</v>
      </c>
      <c r="F303" s="9">
        <v>21.4</v>
      </c>
      <c r="G303" s="9">
        <f t="shared" si="31"/>
        <v>50.573219340035457</v>
      </c>
      <c r="H303" s="9">
        <v>15</v>
      </c>
      <c r="I303" s="9">
        <f t="shared" si="32"/>
        <v>52.689842142977383</v>
      </c>
      <c r="J303" s="9">
        <v>0</v>
      </c>
      <c r="K303" s="9">
        <f t="shared" si="33"/>
        <v>47.055956573373379</v>
      </c>
      <c r="L303" s="6">
        <f t="shared" ca="1" si="34"/>
        <v>124</v>
      </c>
    </row>
    <row r="304" spans="1:12" ht="18.25" customHeight="1">
      <c r="A304" s="7">
        <v>43767</v>
      </c>
      <c r="B304" s="8">
        <f t="shared" si="28"/>
        <v>3</v>
      </c>
      <c r="C304" s="9">
        <f t="shared" si="29"/>
        <v>0.8</v>
      </c>
      <c r="D304" s="9">
        <v>14.5</v>
      </c>
      <c r="E304" s="9">
        <f t="shared" si="30"/>
        <v>47.445167605848155</v>
      </c>
      <c r="F304" s="9">
        <v>16.3</v>
      </c>
      <c r="G304" s="9">
        <f t="shared" si="31"/>
        <v>44.176050266438374</v>
      </c>
      <c r="H304" s="9">
        <v>12.6</v>
      </c>
      <c r="I304" s="9">
        <f t="shared" si="32"/>
        <v>49.721833933822339</v>
      </c>
      <c r="J304" s="9">
        <v>11.5</v>
      </c>
      <c r="K304" s="9">
        <f t="shared" si="33"/>
        <v>53.650205390483961</v>
      </c>
      <c r="L304" s="6">
        <f t="shared" ca="1" si="34"/>
        <v>132</v>
      </c>
    </row>
    <row r="305" spans="1:12" ht="18.25" customHeight="1">
      <c r="A305" s="7">
        <v>43768</v>
      </c>
      <c r="B305" s="8">
        <f t="shared" si="28"/>
        <v>4</v>
      </c>
      <c r="C305" s="9">
        <f t="shared" si="29"/>
        <v>1</v>
      </c>
      <c r="D305" s="9">
        <v>16.5</v>
      </c>
      <c r="E305" s="9">
        <f t="shared" si="30"/>
        <v>50.006666916012755</v>
      </c>
      <c r="F305" s="9">
        <v>22.7</v>
      </c>
      <c r="G305" s="9">
        <f t="shared" si="31"/>
        <v>52.203870280364129</v>
      </c>
      <c r="H305" s="9">
        <v>12.1</v>
      </c>
      <c r="I305" s="9">
        <f t="shared" si="32"/>
        <v>49.103498890248368</v>
      </c>
      <c r="J305" s="9">
        <v>0</v>
      </c>
      <c r="K305" s="9">
        <f t="shared" si="33"/>
        <v>47.055956573373379</v>
      </c>
      <c r="L305" s="6">
        <f t="shared" ca="1" si="34"/>
        <v>179</v>
      </c>
    </row>
    <row r="306" spans="1:12" ht="18.25" customHeight="1">
      <c r="A306" s="7">
        <v>43769</v>
      </c>
      <c r="B306" s="8">
        <f t="shared" si="28"/>
        <v>5</v>
      </c>
      <c r="C306" s="9">
        <f t="shared" si="29"/>
        <v>0.8</v>
      </c>
      <c r="D306" s="9">
        <v>16.8</v>
      </c>
      <c r="E306" s="9">
        <f t="shared" si="30"/>
        <v>50.390891812537447</v>
      </c>
      <c r="F306" s="9">
        <v>22</v>
      </c>
      <c r="G306" s="9">
        <f t="shared" si="31"/>
        <v>51.325827466340996</v>
      </c>
      <c r="H306" s="9">
        <v>14</v>
      </c>
      <c r="I306" s="9">
        <f t="shared" si="32"/>
        <v>51.453172055829448</v>
      </c>
      <c r="J306" s="9">
        <v>0</v>
      </c>
      <c r="K306" s="9">
        <f t="shared" si="33"/>
        <v>47.055956573373379</v>
      </c>
      <c r="L306" s="6">
        <f t="shared" ca="1" si="34"/>
        <v>160</v>
      </c>
    </row>
    <row r="307" spans="1:12" ht="18.25" customHeight="1">
      <c r="A307" s="7">
        <v>43770</v>
      </c>
      <c r="B307" s="8">
        <f t="shared" si="28"/>
        <v>6</v>
      </c>
      <c r="C307" s="9">
        <f t="shared" si="29"/>
        <v>0.8</v>
      </c>
      <c r="D307" s="9">
        <v>17.399999999999999</v>
      </c>
      <c r="E307" s="9">
        <f t="shared" si="30"/>
        <v>51.159341605586825</v>
      </c>
      <c r="F307" s="9">
        <v>23.9</v>
      </c>
      <c r="G307" s="9">
        <f t="shared" si="31"/>
        <v>53.709086532975206</v>
      </c>
      <c r="H307" s="9">
        <v>12.2</v>
      </c>
      <c r="I307" s="9">
        <f t="shared" si="32"/>
        <v>49.227165898963165</v>
      </c>
      <c r="J307" s="9">
        <v>0</v>
      </c>
      <c r="K307" s="9">
        <f t="shared" si="33"/>
        <v>47.055956573373379</v>
      </c>
      <c r="L307" s="6">
        <f t="shared" ca="1" si="34"/>
        <v>142</v>
      </c>
    </row>
    <row r="308" spans="1:12" ht="18.25" customHeight="1">
      <c r="A308" s="7">
        <v>43771</v>
      </c>
      <c r="B308" s="8">
        <f t="shared" si="28"/>
        <v>7</v>
      </c>
      <c r="C308" s="9">
        <f t="shared" si="29"/>
        <v>1.2</v>
      </c>
      <c r="D308" s="9">
        <v>15.7</v>
      </c>
      <c r="E308" s="9">
        <f t="shared" si="30"/>
        <v>48.982067191946918</v>
      </c>
      <c r="F308" s="9">
        <v>19.899999999999999</v>
      </c>
      <c r="G308" s="9">
        <f t="shared" si="31"/>
        <v>48.691699024271607</v>
      </c>
      <c r="H308" s="9">
        <v>10.9</v>
      </c>
      <c r="I308" s="9">
        <f t="shared" si="32"/>
        <v>47.619494785670845</v>
      </c>
      <c r="J308" s="9">
        <v>0</v>
      </c>
      <c r="K308" s="9">
        <f t="shared" si="33"/>
        <v>47.055956573373379</v>
      </c>
      <c r="L308" s="6">
        <f t="shared" ca="1" si="34"/>
        <v>178</v>
      </c>
    </row>
    <row r="309" spans="1:12" ht="18.25" customHeight="1">
      <c r="A309" s="7">
        <v>43772</v>
      </c>
      <c r="B309" s="8">
        <f t="shared" si="28"/>
        <v>1</v>
      </c>
      <c r="C309" s="9">
        <f t="shared" si="29"/>
        <v>1.5</v>
      </c>
      <c r="D309" s="9">
        <v>15.8</v>
      </c>
      <c r="E309" s="9">
        <f t="shared" si="30"/>
        <v>49.110142157455144</v>
      </c>
      <c r="F309" s="9">
        <v>18.899999999999999</v>
      </c>
      <c r="G309" s="9">
        <f t="shared" si="31"/>
        <v>47.437352147095709</v>
      </c>
      <c r="H309" s="9">
        <v>12.7</v>
      </c>
      <c r="I309" s="9">
        <f t="shared" si="32"/>
        <v>49.845500942537129</v>
      </c>
      <c r="J309" s="9">
        <v>10.5</v>
      </c>
      <c r="K309" s="9">
        <f t="shared" si="33"/>
        <v>53.07679244986565</v>
      </c>
      <c r="L309" s="6">
        <f t="shared" ca="1" si="34"/>
        <v>230</v>
      </c>
    </row>
    <row r="310" spans="1:12" ht="18.25" customHeight="1">
      <c r="A310" s="7">
        <v>43773</v>
      </c>
      <c r="B310" s="8">
        <f t="shared" si="28"/>
        <v>2</v>
      </c>
      <c r="C310" s="9">
        <f t="shared" si="29"/>
        <v>0.6</v>
      </c>
      <c r="D310" s="9">
        <v>14.6</v>
      </c>
      <c r="E310" s="9">
        <f t="shared" si="30"/>
        <v>47.573242571356381</v>
      </c>
      <c r="F310" s="9">
        <v>20.2</v>
      </c>
      <c r="G310" s="9">
        <f t="shared" si="31"/>
        <v>49.06800308742438</v>
      </c>
      <c r="H310" s="9">
        <v>11</v>
      </c>
      <c r="I310" s="9">
        <f t="shared" si="32"/>
        <v>47.743161794385642</v>
      </c>
      <c r="J310" s="9">
        <v>1</v>
      </c>
      <c r="K310" s="9">
        <f t="shared" si="33"/>
        <v>47.629369513991691</v>
      </c>
      <c r="L310" s="6">
        <f t="shared" ca="1" si="34"/>
        <v>118</v>
      </c>
    </row>
    <row r="311" spans="1:12" ht="18.25" customHeight="1">
      <c r="A311" s="7">
        <v>43774</v>
      </c>
      <c r="B311" s="8">
        <f t="shared" si="28"/>
        <v>3</v>
      </c>
      <c r="C311" s="9">
        <f t="shared" si="29"/>
        <v>0.8</v>
      </c>
      <c r="D311" s="9">
        <v>13.7</v>
      </c>
      <c r="E311" s="9">
        <f t="shared" si="30"/>
        <v>46.420567881782311</v>
      </c>
      <c r="F311" s="9">
        <v>19.2</v>
      </c>
      <c r="G311" s="9">
        <f t="shared" si="31"/>
        <v>47.813656210248482</v>
      </c>
      <c r="H311" s="9">
        <v>9</v>
      </c>
      <c r="I311" s="9">
        <f t="shared" si="32"/>
        <v>45.269821620089772</v>
      </c>
      <c r="J311" s="9">
        <v>0</v>
      </c>
      <c r="K311" s="9">
        <f t="shared" si="33"/>
        <v>47.055956573373379</v>
      </c>
      <c r="L311" s="6">
        <f t="shared" ca="1" si="34"/>
        <v>129</v>
      </c>
    </row>
    <row r="312" spans="1:12" ht="18.25" customHeight="1">
      <c r="A312" s="7">
        <v>43775</v>
      </c>
      <c r="B312" s="8">
        <f t="shared" si="28"/>
        <v>4</v>
      </c>
      <c r="C312" s="9">
        <f t="shared" si="29"/>
        <v>1</v>
      </c>
      <c r="D312" s="9">
        <v>14.3</v>
      </c>
      <c r="E312" s="9">
        <f t="shared" si="30"/>
        <v>47.189017674831696</v>
      </c>
      <c r="F312" s="9">
        <v>21.2</v>
      </c>
      <c r="G312" s="9">
        <f t="shared" si="31"/>
        <v>50.322349964600278</v>
      </c>
      <c r="H312" s="9">
        <v>8.8000000000000007</v>
      </c>
      <c r="I312" s="9">
        <f t="shared" si="32"/>
        <v>45.022487602660185</v>
      </c>
      <c r="J312" s="9">
        <v>0</v>
      </c>
      <c r="K312" s="9">
        <f t="shared" si="33"/>
        <v>47.055956573373379</v>
      </c>
      <c r="L312" s="6">
        <f t="shared" ca="1" si="34"/>
        <v>177</v>
      </c>
    </row>
    <row r="313" spans="1:12" ht="18.25" customHeight="1">
      <c r="A313" s="7">
        <v>43776</v>
      </c>
      <c r="B313" s="8">
        <f t="shared" si="28"/>
        <v>5</v>
      </c>
      <c r="C313" s="9">
        <f t="shared" si="29"/>
        <v>0.8</v>
      </c>
      <c r="D313" s="9">
        <v>16</v>
      </c>
      <c r="E313" s="9">
        <f t="shared" si="30"/>
        <v>49.366292088471603</v>
      </c>
      <c r="F313" s="9">
        <v>22.6</v>
      </c>
      <c r="G313" s="9">
        <f t="shared" si="31"/>
        <v>52.078435592646542</v>
      </c>
      <c r="H313" s="9">
        <v>9.8000000000000007</v>
      </c>
      <c r="I313" s="9">
        <f t="shared" si="32"/>
        <v>46.25915768980812</v>
      </c>
      <c r="J313" s="9">
        <v>0</v>
      </c>
      <c r="K313" s="9">
        <f t="shared" si="33"/>
        <v>47.055956573373379</v>
      </c>
      <c r="L313" s="6">
        <f t="shared" ca="1" si="34"/>
        <v>155</v>
      </c>
    </row>
    <row r="314" spans="1:12" ht="18.25" customHeight="1">
      <c r="A314" s="7">
        <v>43777</v>
      </c>
      <c r="B314" s="8">
        <f t="shared" si="28"/>
        <v>6</v>
      </c>
      <c r="C314" s="9">
        <f t="shared" si="29"/>
        <v>0.8</v>
      </c>
      <c r="D314" s="9">
        <v>15.1</v>
      </c>
      <c r="E314" s="9">
        <f t="shared" si="30"/>
        <v>48.213617398897533</v>
      </c>
      <c r="F314" s="9">
        <v>19.2</v>
      </c>
      <c r="G314" s="9">
        <f t="shared" si="31"/>
        <v>47.813656210248482</v>
      </c>
      <c r="H314" s="9">
        <v>11.9</v>
      </c>
      <c r="I314" s="9">
        <f t="shared" si="32"/>
        <v>48.856164872818781</v>
      </c>
      <c r="J314" s="9">
        <v>0</v>
      </c>
      <c r="K314" s="9">
        <f t="shared" si="33"/>
        <v>47.055956573373379</v>
      </c>
      <c r="L314" s="6">
        <f t="shared" ca="1" si="34"/>
        <v>142</v>
      </c>
    </row>
    <row r="315" spans="1:12" ht="18.25" customHeight="1">
      <c r="A315" s="7">
        <v>43778</v>
      </c>
      <c r="B315" s="8">
        <f t="shared" si="28"/>
        <v>7</v>
      </c>
      <c r="C315" s="9">
        <f t="shared" si="29"/>
        <v>1.2</v>
      </c>
      <c r="D315" s="9">
        <v>13.3</v>
      </c>
      <c r="E315" s="9">
        <f t="shared" si="30"/>
        <v>45.908268019749393</v>
      </c>
      <c r="F315" s="9">
        <v>17.399999999999999</v>
      </c>
      <c r="G315" s="9">
        <f t="shared" si="31"/>
        <v>45.555831831331858</v>
      </c>
      <c r="H315" s="9">
        <v>11.3</v>
      </c>
      <c r="I315" s="9">
        <f t="shared" si="32"/>
        <v>48.114162820530019</v>
      </c>
      <c r="J315" s="9">
        <v>0</v>
      </c>
      <c r="K315" s="9">
        <f t="shared" si="33"/>
        <v>47.055956573373379</v>
      </c>
      <c r="L315" s="6">
        <f t="shared" ca="1" si="34"/>
        <v>189</v>
      </c>
    </row>
    <row r="316" spans="1:12" ht="18.25" customHeight="1">
      <c r="A316" s="7">
        <v>43779</v>
      </c>
      <c r="B316" s="8">
        <f t="shared" si="28"/>
        <v>1</v>
      </c>
      <c r="C316" s="9">
        <f t="shared" si="29"/>
        <v>1.5</v>
      </c>
      <c r="D316" s="9">
        <v>13.9</v>
      </c>
      <c r="E316" s="9">
        <f t="shared" si="30"/>
        <v>46.676717812798771</v>
      </c>
      <c r="F316" s="9">
        <v>18.600000000000001</v>
      </c>
      <c r="G316" s="9">
        <f t="shared" si="31"/>
        <v>47.061048083942943</v>
      </c>
      <c r="H316" s="9">
        <v>9.1999999999999993</v>
      </c>
      <c r="I316" s="9">
        <f t="shared" si="32"/>
        <v>45.517155637519359</v>
      </c>
      <c r="J316" s="9">
        <v>0</v>
      </c>
      <c r="K316" s="9">
        <f t="shared" si="33"/>
        <v>47.055956573373379</v>
      </c>
      <c r="L316" s="6">
        <f t="shared" ca="1" si="34"/>
        <v>213</v>
      </c>
    </row>
    <row r="317" spans="1:12" ht="18.25" customHeight="1">
      <c r="A317" s="7">
        <v>43780</v>
      </c>
      <c r="B317" s="8">
        <f t="shared" si="28"/>
        <v>2</v>
      </c>
      <c r="C317" s="9">
        <f t="shared" si="29"/>
        <v>0.6</v>
      </c>
      <c r="D317" s="9">
        <v>12.9</v>
      </c>
      <c r="E317" s="9">
        <f t="shared" si="30"/>
        <v>45.395968157716467</v>
      </c>
      <c r="F317" s="9">
        <v>17.899999999999999</v>
      </c>
      <c r="G317" s="9">
        <f t="shared" si="31"/>
        <v>46.183005269919811</v>
      </c>
      <c r="H317" s="9">
        <v>10.8</v>
      </c>
      <c r="I317" s="9">
        <f t="shared" si="32"/>
        <v>47.495827776956055</v>
      </c>
      <c r="J317" s="9">
        <v>6.5</v>
      </c>
      <c r="K317" s="9">
        <f t="shared" si="33"/>
        <v>50.783140687392404</v>
      </c>
      <c r="L317" s="6">
        <f t="shared" ca="1" si="34"/>
        <v>100</v>
      </c>
    </row>
    <row r="318" spans="1:12" ht="18.25" customHeight="1">
      <c r="A318" s="7">
        <v>43781</v>
      </c>
      <c r="B318" s="8">
        <f t="shared" si="28"/>
        <v>3</v>
      </c>
      <c r="C318" s="9">
        <f t="shared" si="29"/>
        <v>0.8</v>
      </c>
      <c r="D318" s="9">
        <v>15.1</v>
      </c>
      <c r="E318" s="9">
        <f t="shared" si="30"/>
        <v>48.213617398897533</v>
      </c>
      <c r="F318" s="9">
        <v>21.8</v>
      </c>
      <c r="G318" s="9">
        <f t="shared" si="31"/>
        <v>51.074958090905817</v>
      </c>
      <c r="H318" s="9">
        <v>9.1999999999999993</v>
      </c>
      <c r="I318" s="9">
        <f t="shared" si="32"/>
        <v>45.517155637519359</v>
      </c>
      <c r="J318" s="9">
        <v>0</v>
      </c>
      <c r="K318" s="9">
        <f t="shared" si="33"/>
        <v>47.055956573373379</v>
      </c>
      <c r="L318" s="6">
        <f t="shared" ca="1" si="34"/>
        <v>152</v>
      </c>
    </row>
    <row r="319" spans="1:12" ht="18.25" customHeight="1">
      <c r="A319" s="7">
        <v>43782</v>
      </c>
      <c r="B319" s="8">
        <f t="shared" si="28"/>
        <v>4</v>
      </c>
      <c r="C319" s="9">
        <f t="shared" si="29"/>
        <v>1</v>
      </c>
      <c r="D319" s="9">
        <v>13.3</v>
      </c>
      <c r="E319" s="9">
        <f t="shared" si="30"/>
        <v>45.908268019749393</v>
      </c>
      <c r="F319" s="9">
        <v>16.100000000000001</v>
      </c>
      <c r="G319" s="9">
        <f t="shared" si="31"/>
        <v>43.925180891003194</v>
      </c>
      <c r="H319" s="9">
        <v>11.3</v>
      </c>
      <c r="I319" s="9">
        <f t="shared" si="32"/>
        <v>48.114162820530019</v>
      </c>
      <c r="J319" s="9">
        <v>0.5</v>
      </c>
      <c r="K319" s="9">
        <f t="shared" si="33"/>
        <v>47.342663043682535</v>
      </c>
      <c r="L319" s="6">
        <f t="shared" ca="1" si="34"/>
        <v>148</v>
      </c>
    </row>
    <row r="320" spans="1:12" ht="18.25" customHeight="1">
      <c r="A320" s="7">
        <v>43783</v>
      </c>
      <c r="B320" s="8">
        <f t="shared" si="28"/>
        <v>5</v>
      </c>
      <c r="C320" s="9">
        <f t="shared" si="29"/>
        <v>0.8</v>
      </c>
      <c r="D320" s="9">
        <v>16.899999999999999</v>
      </c>
      <c r="E320" s="9">
        <f t="shared" si="30"/>
        <v>50.51896677804568</v>
      </c>
      <c r="F320" s="9">
        <v>22.3</v>
      </c>
      <c r="G320" s="9">
        <f t="shared" si="31"/>
        <v>51.702131529493769</v>
      </c>
      <c r="H320" s="9">
        <v>11.6</v>
      </c>
      <c r="I320" s="9">
        <f t="shared" si="32"/>
        <v>48.485163846674403</v>
      </c>
      <c r="J320" s="9">
        <v>0</v>
      </c>
      <c r="K320" s="9">
        <f t="shared" si="33"/>
        <v>47.055956573373379</v>
      </c>
      <c r="L320" s="6">
        <f t="shared" ca="1" si="34"/>
        <v>151</v>
      </c>
    </row>
    <row r="321" spans="1:12" ht="18.25" customHeight="1">
      <c r="A321" s="7">
        <v>43784</v>
      </c>
      <c r="B321" s="8">
        <f t="shared" si="28"/>
        <v>6</v>
      </c>
      <c r="C321" s="9">
        <f t="shared" si="29"/>
        <v>0.8</v>
      </c>
      <c r="D321" s="9">
        <v>12.6</v>
      </c>
      <c r="E321" s="9">
        <f t="shared" si="30"/>
        <v>45.011743261191782</v>
      </c>
      <c r="F321" s="9">
        <v>17.100000000000001</v>
      </c>
      <c r="G321" s="9">
        <f t="shared" si="31"/>
        <v>45.179527768179092</v>
      </c>
      <c r="H321" s="9">
        <v>9.6999999999999993</v>
      </c>
      <c r="I321" s="9">
        <f t="shared" si="32"/>
        <v>46.135490681093323</v>
      </c>
      <c r="J321" s="9">
        <v>0</v>
      </c>
      <c r="K321" s="9">
        <f t="shared" si="33"/>
        <v>47.055956573373379</v>
      </c>
      <c r="L321" s="6">
        <f t="shared" ca="1" si="34"/>
        <v>123</v>
      </c>
    </row>
    <row r="322" spans="1:12" ht="18.25" customHeight="1">
      <c r="A322" s="7">
        <v>43785</v>
      </c>
      <c r="B322" s="8">
        <f t="shared" si="28"/>
        <v>7</v>
      </c>
      <c r="C322" s="9">
        <f t="shared" si="29"/>
        <v>1.2</v>
      </c>
      <c r="D322" s="9">
        <v>12.8</v>
      </c>
      <c r="E322" s="9">
        <f t="shared" si="30"/>
        <v>45.267893192208241</v>
      </c>
      <c r="F322" s="9">
        <v>18.899999999999999</v>
      </c>
      <c r="G322" s="9">
        <f t="shared" si="31"/>
        <v>47.437352147095709</v>
      </c>
      <c r="H322" s="9">
        <v>7.8</v>
      </c>
      <c r="I322" s="9">
        <f t="shared" si="32"/>
        <v>43.78581751551225</v>
      </c>
      <c r="J322" s="9">
        <v>0</v>
      </c>
      <c r="K322" s="9">
        <f t="shared" si="33"/>
        <v>47.055956573373379</v>
      </c>
      <c r="L322" s="6">
        <f t="shared" ca="1" si="34"/>
        <v>168</v>
      </c>
    </row>
    <row r="323" spans="1:12" ht="18.25" customHeight="1">
      <c r="A323" s="7">
        <v>43786</v>
      </c>
      <c r="B323" s="8">
        <f t="shared" ref="B323:B367" si="35">WEEKDAY($A323)</f>
        <v>1</v>
      </c>
      <c r="C323" s="9">
        <f t="shared" ref="C323:C367" si="36">_xlfn.IFS(B323=1,1.5,B323=2,0.6,B323=3,0.8,B323=4,1,B323=5,0.8,B323=6,0.8,B323=7,1.2)</f>
        <v>1.5</v>
      </c>
      <c r="D323" s="9">
        <v>13.4</v>
      </c>
      <c r="E323" s="9">
        <f t="shared" ref="E323:E367" si="37">(((D323-AVERAGE(D$3:D$367))*10)/STDEVP(D$3:D$367))+50</f>
        <v>46.036342985257619</v>
      </c>
      <c r="F323" s="9">
        <v>19.7</v>
      </c>
      <c r="G323" s="9">
        <f t="shared" ref="G323:G367" si="38">(((F323-AVERAGE(F$3:F$367))*10)/STDEVP(F$3:F$367))+50</f>
        <v>48.440829648836427</v>
      </c>
      <c r="H323" s="9">
        <v>8.1999999999999993</v>
      </c>
      <c r="I323" s="9">
        <f t="shared" ref="I323:I367" si="39">(((H323-AVERAGE(H$3:H$367))*10)/STDEVP(H$3:H$367))+50</f>
        <v>44.280485550371424</v>
      </c>
      <c r="J323" s="9">
        <v>0</v>
      </c>
      <c r="K323" s="9">
        <f t="shared" ref="K323:K367" si="40">(((J323-AVERAGE(J$3:J$367))*10)/STDEVP(J$3:J$367))+50</f>
        <v>47.055956573373379</v>
      </c>
      <c r="L323" s="6">
        <f t="shared" ca="1" si="34"/>
        <v>237</v>
      </c>
    </row>
    <row r="324" spans="1:12" ht="18.25" customHeight="1">
      <c r="A324" s="7">
        <v>43787</v>
      </c>
      <c r="B324" s="8">
        <f t="shared" si="35"/>
        <v>2</v>
      </c>
      <c r="C324" s="9">
        <f t="shared" si="36"/>
        <v>0.6</v>
      </c>
      <c r="D324" s="9">
        <v>16.100000000000001</v>
      </c>
      <c r="E324" s="9">
        <f t="shared" si="37"/>
        <v>49.494367053979836</v>
      </c>
      <c r="F324" s="9">
        <v>21.4</v>
      </c>
      <c r="G324" s="9">
        <f t="shared" si="38"/>
        <v>50.573219340035457</v>
      </c>
      <c r="H324" s="9">
        <v>9.4</v>
      </c>
      <c r="I324" s="9">
        <f t="shared" si="39"/>
        <v>45.764489654948946</v>
      </c>
      <c r="J324" s="9">
        <v>0</v>
      </c>
      <c r="K324" s="9">
        <f t="shared" si="40"/>
        <v>47.055956573373379</v>
      </c>
      <c r="L324" s="6">
        <f t="shared" ref="L324:L367" ca="1" si="41">MAX(INT(RAND()*30*C324+E324*30/50+G324*50/50+I324*10/50+I324*50/50-K324*90/50+100*C324),0)</f>
        <v>110</v>
      </c>
    </row>
    <row r="325" spans="1:12" ht="18.25" customHeight="1">
      <c r="A325" s="7">
        <v>43788</v>
      </c>
      <c r="B325" s="8">
        <f t="shared" si="35"/>
        <v>3</v>
      </c>
      <c r="C325" s="9">
        <f t="shared" si="36"/>
        <v>0.8</v>
      </c>
      <c r="D325" s="9">
        <v>15.8</v>
      </c>
      <c r="E325" s="9">
        <f t="shared" si="37"/>
        <v>49.110142157455144</v>
      </c>
      <c r="F325" s="9">
        <v>20.7</v>
      </c>
      <c r="G325" s="9">
        <f t="shared" si="38"/>
        <v>49.695176526012325</v>
      </c>
      <c r="H325" s="9">
        <v>11.7</v>
      </c>
      <c r="I325" s="9">
        <f t="shared" si="39"/>
        <v>48.608830855389193</v>
      </c>
      <c r="J325" s="9">
        <v>3</v>
      </c>
      <c r="K325" s="9">
        <f t="shared" si="40"/>
        <v>48.776195395228314</v>
      </c>
      <c r="L325" s="6">
        <f t="shared" ca="1" si="41"/>
        <v>143</v>
      </c>
    </row>
    <row r="326" spans="1:12" ht="18.25" customHeight="1">
      <c r="A326" s="7">
        <v>43789</v>
      </c>
      <c r="B326" s="8">
        <f t="shared" si="35"/>
        <v>4</v>
      </c>
      <c r="C326" s="9">
        <f t="shared" si="36"/>
        <v>1</v>
      </c>
      <c r="D326" s="9">
        <v>12</v>
      </c>
      <c r="E326" s="9">
        <f t="shared" si="37"/>
        <v>44.243293468142397</v>
      </c>
      <c r="F326" s="9">
        <v>15.9</v>
      </c>
      <c r="G326" s="9">
        <f t="shared" si="38"/>
        <v>43.674311515568014</v>
      </c>
      <c r="H326" s="9">
        <v>9.6</v>
      </c>
      <c r="I326" s="9">
        <f t="shared" si="39"/>
        <v>46.011823672378533</v>
      </c>
      <c r="J326" s="9">
        <v>0</v>
      </c>
      <c r="K326" s="9">
        <f t="shared" si="40"/>
        <v>47.055956573373379</v>
      </c>
      <c r="L326" s="6">
        <f t="shared" ca="1" si="41"/>
        <v>156</v>
      </c>
    </row>
    <row r="327" spans="1:12" ht="18.25" customHeight="1">
      <c r="A327" s="7">
        <v>43790</v>
      </c>
      <c r="B327" s="8">
        <f t="shared" si="35"/>
        <v>5</v>
      </c>
      <c r="C327" s="9">
        <f t="shared" si="36"/>
        <v>0.8</v>
      </c>
      <c r="D327" s="9">
        <v>11.3</v>
      </c>
      <c r="E327" s="9">
        <f t="shared" si="37"/>
        <v>43.346768709584786</v>
      </c>
      <c r="F327" s="9">
        <v>15.7</v>
      </c>
      <c r="G327" s="9">
        <f t="shared" si="38"/>
        <v>43.423442140132835</v>
      </c>
      <c r="H327" s="9">
        <v>8.5</v>
      </c>
      <c r="I327" s="9">
        <f t="shared" si="39"/>
        <v>44.651486576515801</v>
      </c>
      <c r="J327" s="9">
        <v>0</v>
      </c>
      <c r="K327" s="9">
        <f t="shared" si="40"/>
        <v>47.055956573373379</v>
      </c>
      <c r="L327" s="6">
        <f t="shared" ca="1" si="41"/>
        <v>120</v>
      </c>
    </row>
    <row r="328" spans="1:12" ht="18.25" customHeight="1">
      <c r="A328" s="7">
        <v>43791</v>
      </c>
      <c r="B328" s="8">
        <f t="shared" si="35"/>
        <v>6</v>
      </c>
      <c r="C328" s="9">
        <f t="shared" si="36"/>
        <v>0.8</v>
      </c>
      <c r="D328" s="9">
        <v>8.1</v>
      </c>
      <c r="E328" s="9">
        <f t="shared" si="37"/>
        <v>39.248369813321418</v>
      </c>
      <c r="F328" s="9">
        <v>10.8</v>
      </c>
      <c r="G328" s="9">
        <f t="shared" si="38"/>
        <v>37.277142441970923</v>
      </c>
      <c r="H328" s="9">
        <v>6.3</v>
      </c>
      <c r="I328" s="9">
        <f t="shared" si="39"/>
        <v>41.930812384790343</v>
      </c>
      <c r="J328" s="9">
        <v>47</v>
      </c>
      <c r="K328" s="9">
        <f t="shared" si="40"/>
        <v>74.006364782434019</v>
      </c>
      <c r="L328" s="6">
        <f t="shared" ca="1" si="41"/>
        <v>62</v>
      </c>
    </row>
    <row r="329" spans="1:12" ht="18.25" customHeight="1">
      <c r="A329" s="7">
        <v>43792</v>
      </c>
      <c r="B329" s="8">
        <f t="shared" si="35"/>
        <v>7</v>
      </c>
      <c r="C329" s="9">
        <f t="shared" si="36"/>
        <v>1.2</v>
      </c>
      <c r="D329" s="9">
        <v>11.3</v>
      </c>
      <c r="E329" s="9">
        <f t="shared" si="37"/>
        <v>43.346768709584786</v>
      </c>
      <c r="F329" s="9">
        <v>13</v>
      </c>
      <c r="G329" s="9">
        <f t="shared" si="38"/>
        <v>40.036705571757906</v>
      </c>
      <c r="H329" s="9">
        <v>9.1999999999999993</v>
      </c>
      <c r="I329" s="9">
        <f t="shared" si="39"/>
        <v>45.517155637519359</v>
      </c>
      <c r="J329" s="9">
        <v>60.5</v>
      </c>
      <c r="K329" s="9">
        <f t="shared" si="40"/>
        <v>81.747439480781225</v>
      </c>
      <c r="L329" s="6">
        <f t="shared" ca="1" si="41"/>
        <v>116</v>
      </c>
    </row>
    <row r="330" spans="1:12" ht="18.25" customHeight="1">
      <c r="A330" s="7">
        <v>43793</v>
      </c>
      <c r="B330" s="8">
        <f t="shared" si="35"/>
        <v>1</v>
      </c>
      <c r="C330" s="9">
        <f t="shared" si="36"/>
        <v>1.5</v>
      </c>
      <c r="D330" s="9">
        <v>15.9</v>
      </c>
      <c r="E330" s="9">
        <f t="shared" si="37"/>
        <v>49.238217122963377</v>
      </c>
      <c r="F330" s="9">
        <v>19.100000000000001</v>
      </c>
      <c r="G330" s="9">
        <f t="shared" si="38"/>
        <v>47.688221522530888</v>
      </c>
      <c r="H330" s="9">
        <v>12.9</v>
      </c>
      <c r="I330" s="9">
        <f t="shared" si="39"/>
        <v>50.092834959966716</v>
      </c>
      <c r="J330" s="9">
        <v>19</v>
      </c>
      <c r="K330" s="9">
        <f t="shared" si="40"/>
        <v>57.950802445121298</v>
      </c>
      <c r="L330" s="6">
        <f t="shared" ca="1" si="41"/>
        <v>192</v>
      </c>
    </row>
    <row r="331" spans="1:12" ht="18.25" customHeight="1">
      <c r="A331" s="7">
        <v>43794</v>
      </c>
      <c r="B331" s="8">
        <f t="shared" si="35"/>
        <v>2</v>
      </c>
      <c r="C331" s="9">
        <f t="shared" si="36"/>
        <v>0.6</v>
      </c>
      <c r="D331" s="9">
        <v>16.600000000000001</v>
      </c>
      <c r="E331" s="9">
        <f t="shared" si="37"/>
        <v>50.134741881520988</v>
      </c>
      <c r="F331" s="9">
        <v>21.9</v>
      </c>
      <c r="G331" s="9">
        <f t="shared" si="38"/>
        <v>51.200392778623403</v>
      </c>
      <c r="H331" s="9">
        <v>12.1</v>
      </c>
      <c r="I331" s="9">
        <f t="shared" si="39"/>
        <v>49.103498890248368</v>
      </c>
      <c r="J331" s="9">
        <v>1</v>
      </c>
      <c r="K331" s="9">
        <f t="shared" si="40"/>
        <v>47.629369513991691</v>
      </c>
      <c r="L331" s="6">
        <f t="shared" ca="1" si="41"/>
        <v>128</v>
      </c>
    </row>
    <row r="332" spans="1:12" ht="18.25" customHeight="1">
      <c r="A332" s="7">
        <v>43795</v>
      </c>
      <c r="B332" s="8">
        <f t="shared" si="35"/>
        <v>3</v>
      </c>
      <c r="C332" s="9">
        <f t="shared" si="36"/>
        <v>0.8</v>
      </c>
      <c r="D332" s="9">
        <v>8.8000000000000007</v>
      </c>
      <c r="E332" s="9">
        <f t="shared" si="37"/>
        <v>40.144894571879036</v>
      </c>
      <c r="F332" s="9">
        <v>12.5</v>
      </c>
      <c r="G332" s="9">
        <f t="shared" si="38"/>
        <v>39.409532133169954</v>
      </c>
      <c r="H332" s="9">
        <v>7.3</v>
      </c>
      <c r="I332" s="9">
        <f t="shared" si="39"/>
        <v>43.167482471938278</v>
      </c>
      <c r="J332" s="9">
        <v>1.5</v>
      </c>
      <c r="K332" s="9">
        <f t="shared" si="40"/>
        <v>47.916075984300846</v>
      </c>
      <c r="L332" s="6">
        <f t="shared" ca="1" si="41"/>
        <v>116</v>
      </c>
    </row>
    <row r="333" spans="1:12" ht="18.25" customHeight="1">
      <c r="A333" s="7">
        <v>43796</v>
      </c>
      <c r="B333" s="8">
        <f t="shared" si="35"/>
        <v>4</v>
      </c>
      <c r="C333" s="9">
        <f t="shared" si="36"/>
        <v>1</v>
      </c>
      <c r="D333" s="9">
        <v>9.3000000000000007</v>
      </c>
      <c r="E333" s="9">
        <f t="shared" si="37"/>
        <v>40.78526939942018</v>
      </c>
      <c r="F333" s="9">
        <v>10.7</v>
      </c>
      <c r="G333" s="9">
        <f t="shared" si="38"/>
        <v>37.151707754253337</v>
      </c>
      <c r="H333" s="9">
        <v>7.8</v>
      </c>
      <c r="I333" s="9">
        <f t="shared" si="39"/>
        <v>43.78581751551225</v>
      </c>
      <c r="J333" s="9">
        <v>2.5</v>
      </c>
      <c r="K333" s="9">
        <f t="shared" si="40"/>
        <v>48.489488924919158</v>
      </c>
      <c r="L333" s="6">
        <f t="shared" ca="1" si="41"/>
        <v>139</v>
      </c>
    </row>
    <row r="334" spans="1:12" ht="18.25" customHeight="1">
      <c r="A334" s="7">
        <v>43797</v>
      </c>
      <c r="B334" s="8">
        <f t="shared" si="35"/>
        <v>5</v>
      </c>
      <c r="C334" s="9">
        <f t="shared" si="36"/>
        <v>0.8</v>
      </c>
      <c r="D334" s="9">
        <v>8.5</v>
      </c>
      <c r="E334" s="9">
        <f t="shared" si="37"/>
        <v>39.760669675354343</v>
      </c>
      <c r="F334" s="9">
        <v>11.8</v>
      </c>
      <c r="G334" s="9">
        <f t="shared" si="38"/>
        <v>38.531489319146829</v>
      </c>
      <c r="H334" s="9">
        <v>4.5999999999999996</v>
      </c>
      <c r="I334" s="9">
        <f t="shared" si="39"/>
        <v>39.828473236638857</v>
      </c>
      <c r="J334" s="9">
        <v>3.5</v>
      </c>
      <c r="K334" s="9">
        <f t="shared" si="40"/>
        <v>49.062901865537469</v>
      </c>
      <c r="L334" s="6">
        <f t="shared" ca="1" si="41"/>
        <v>102</v>
      </c>
    </row>
    <row r="335" spans="1:12" ht="18.25" customHeight="1">
      <c r="A335" s="7">
        <v>43798</v>
      </c>
      <c r="B335" s="8">
        <f t="shared" si="35"/>
        <v>6</v>
      </c>
      <c r="C335" s="9">
        <f t="shared" si="36"/>
        <v>0.8</v>
      </c>
      <c r="D335" s="9">
        <v>5.2</v>
      </c>
      <c r="E335" s="9">
        <f t="shared" si="37"/>
        <v>35.534195813582741</v>
      </c>
      <c r="F335" s="9">
        <v>9.6999999999999993</v>
      </c>
      <c r="G335" s="9">
        <f t="shared" si="38"/>
        <v>35.897360877077432</v>
      </c>
      <c r="H335" s="9">
        <v>1.6</v>
      </c>
      <c r="I335" s="9">
        <f t="shared" si="39"/>
        <v>36.118462975195051</v>
      </c>
      <c r="J335" s="9">
        <v>0</v>
      </c>
      <c r="K335" s="9">
        <f t="shared" si="40"/>
        <v>47.055956573373379</v>
      </c>
      <c r="L335" s="6">
        <f t="shared" ca="1" si="41"/>
        <v>105</v>
      </c>
    </row>
    <row r="336" spans="1:12" ht="18.25" customHeight="1">
      <c r="A336" s="7">
        <v>43799</v>
      </c>
      <c r="B336" s="8">
        <f t="shared" si="35"/>
        <v>7</v>
      </c>
      <c r="C336" s="9">
        <f t="shared" si="36"/>
        <v>1.2</v>
      </c>
      <c r="D336" s="9">
        <v>7.3</v>
      </c>
      <c r="E336" s="9">
        <f t="shared" si="37"/>
        <v>38.223770089255581</v>
      </c>
      <c r="F336" s="9">
        <v>12</v>
      </c>
      <c r="G336" s="9">
        <f t="shared" si="38"/>
        <v>38.782358694582001</v>
      </c>
      <c r="H336" s="9">
        <v>3.1</v>
      </c>
      <c r="I336" s="9">
        <f t="shared" si="39"/>
        <v>37.973468105916957</v>
      </c>
      <c r="J336" s="9">
        <v>0</v>
      </c>
      <c r="K336" s="9">
        <f t="shared" si="40"/>
        <v>47.055956573373379</v>
      </c>
      <c r="L336" s="6">
        <f t="shared" ca="1" si="41"/>
        <v>161</v>
      </c>
    </row>
    <row r="337" spans="1:12" ht="18.25" customHeight="1">
      <c r="A337" s="7">
        <v>43800</v>
      </c>
      <c r="B337" s="8">
        <f t="shared" si="35"/>
        <v>1</v>
      </c>
      <c r="C337" s="9">
        <f t="shared" si="36"/>
        <v>1.5</v>
      </c>
      <c r="D337" s="9">
        <v>7.4</v>
      </c>
      <c r="E337" s="9">
        <f t="shared" si="37"/>
        <v>38.351845054763807</v>
      </c>
      <c r="F337" s="9">
        <v>11.5</v>
      </c>
      <c r="G337" s="9">
        <f t="shared" si="38"/>
        <v>38.155185255994056</v>
      </c>
      <c r="H337" s="9">
        <v>4.7</v>
      </c>
      <c r="I337" s="9">
        <f t="shared" si="39"/>
        <v>39.952140245353647</v>
      </c>
      <c r="J337" s="9">
        <v>0</v>
      </c>
      <c r="K337" s="9">
        <f t="shared" si="40"/>
        <v>47.055956573373379</v>
      </c>
      <c r="L337" s="6">
        <f t="shared" ca="1" si="41"/>
        <v>201</v>
      </c>
    </row>
    <row r="338" spans="1:12" ht="18.25" customHeight="1">
      <c r="A338" s="7">
        <v>43801</v>
      </c>
      <c r="B338" s="8">
        <f t="shared" si="35"/>
        <v>2</v>
      </c>
      <c r="C338" s="9">
        <f t="shared" si="36"/>
        <v>0.6</v>
      </c>
      <c r="D338" s="9">
        <v>9.5</v>
      </c>
      <c r="E338" s="9">
        <f t="shared" si="37"/>
        <v>41.041419330436639</v>
      </c>
      <c r="F338" s="9">
        <v>16.399999999999999</v>
      </c>
      <c r="G338" s="9">
        <f t="shared" si="38"/>
        <v>44.30148495415596</v>
      </c>
      <c r="H338" s="9">
        <v>6.2</v>
      </c>
      <c r="I338" s="9">
        <f t="shared" si="39"/>
        <v>41.807145376075553</v>
      </c>
      <c r="J338" s="9">
        <v>36</v>
      </c>
      <c r="K338" s="9">
        <f t="shared" si="40"/>
        <v>67.698822435632593</v>
      </c>
      <c r="L338" s="6">
        <f t="shared" ca="1" si="41"/>
        <v>61</v>
      </c>
    </row>
    <row r="339" spans="1:12" ht="18.25" customHeight="1">
      <c r="A339" s="7">
        <v>43802</v>
      </c>
      <c r="B339" s="8">
        <f t="shared" si="35"/>
        <v>3</v>
      </c>
      <c r="C339" s="9">
        <f t="shared" si="36"/>
        <v>0.8</v>
      </c>
      <c r="D339" s="9">
        <v>11.8</v>
      </c>
      <c r="E339" s="9">
        <f t="shared" si="37"/>
        <v>43.987143537125938</v>
      </c>
      <c r="F339" s="9">
        <v>17</v>
      </c>
      <c r="G339" s="9">
        <f t="shared" si="38"/>
        <v>45.054093080461499</v>
      </c>
      <c r="H339" s="9">
        <v>9.1</v>
      </c>
      <c r="I339" s="9">
        <f t="shared" si="39"/>
        <v>45.393488628804562</v>
      </c>
      <c r="J339" s="9">
        <v>0</v>
      </c>
      <c r="K339" s="9">
        <f t="shared" si="40"/>
        <v>47.055956573373379</v>
      </c>
      <c r="L339" s="6">
        <f t="shared" ca="1" si="41"/>
        <v>129</v>
      </c>
    </row>
    <row r="340" spans="1:12" ht="18.25" customHeight="1">
      <c r="A340" s="7">
        <v>43803</v>
      </c>
      <c r="B340" s="8">
        <f t="shared" si="35"/>
        <v>4</v>
      </c>
      <c r="C340" s="9">
        <f t="shared" si="36"/>
        <v>1</v>
      </c>
      <c r="D340" s="9">
        <v>10.199999999999999</v>
      </c>
      <c r="E340" s="9">
        <f t="shared" si="37"/>
        <v>41.937944088994257</v>
      </c>
      <c r="F340" s="9">
        <v>15.3</v>
      </c>
      <c r="G340" s="9">
        <f t="shared" si="38"/>
        <v>42.921703389262476</v>
      </c>
      <c r="H340" s="9">
        <v>5.7</v>
      </c>
      <c r="I340" s="9">
        <f t="shared" si="39"/>
        <v>41.188810332501589</v>
      </c>
      <c r="J340" s="9">
        <v>0</v>
      </c>
      <c r="K340" s="9">
        <f t="shared" si="40"/>
        <v>47.055956573373379</v>
      </c>
      <c r="L340" s="6">
        <f t="shared" ca="1" si="41"/>
        <v>151</v>
      </c>
    </row>
    <row r="341" spans="1:12" ht="18.25" customHeight="1">
      <c r="A341" s="7">
        <v>43804</v>
      </c>
      <c r="B341" s="8">
        <f t="shared" si="35"/>
        <v>5</v>
      </c>
      <c r="C341" s="9">
        <f t="shared" si="36"/>
        <v>0.8</v>
      </c>
      <c r="D341" s="9">
        <v>9.6</v>
      </c>
      <c r="E341" s="9">
        <f t="shared" si="37"/>
        <v>41.169494295944872</v>
      </c>
      <c r="F341" s="9">
        <v>14.5</v>
      </c>
      <c r="G341" s="9">
        <f t="shared" si="38"/>
        <v>41.918225887521757</v>
      </c>
      <c r="H341" s="9">
        <v>5.6</v>
      </c>
      <c r="I341" s="9">
        <f t="shared" si="39"/>
        <v>41.065143323786792</v>
      </c>
      <c r="J341" s="9">
        <v>0</v>
      </c>
      <c r="K341" s="9">
        <f t="shared" si="40"/>
        <v>47.055956573373379</v>
      </c>
      <c r="L341" s="6">
        <f t="shared" ca="1" si="41"/>
        <v>134</v>
      </c>
    </row>
    <row r="342" spans="1:12" ht="18.25" customHeight="1">
      <c r="A342" s="7">
        <v>43805</v>
      </c>
      <c r="B342" s="8">
        <f t="shared" si="35"/>
        <v>6</v>
      </c>
      <c r="C342" s="9">
        <f t="shared" si="36"/>
        <v>0.8</v>
      </c>
      <c r="D342" s="9">
        <v>8</v>
      </c>
      <c r="E342" s="9">
        <f t="shared" si="37"/>
        <v>39.120294847813192</v>
      </c>
      <c r="F342" s="9">
        <v>10.4</v>
      </c>
      <c r="G342" s="9">
        <f t="shared" si="38"/>
        <v>36.775403691100564</v>
      </c>
      <c r="H342" s="9">
        <v>6</v>
      </c>
      <c r="I342" s="9">
        <f t="shared" si="39"/>
        <v>41.559811358645966</v>
      </c>
      <c r="J342" s="9">
        <v>0</v>
      </c>
      <c r="K342" s="9">
        <f t="shared" si="40"/>
        <v>47.055956573373379</v>
      </c>
      <c r="L342" s="6">
        <f t="shared" ca="1" si="41"/>
        <v>107</v>
      </c>
    </row>
    <row r="343" spans="1:12" ht="18.25" customHeight="1">
      <c r="A343" s="7">
        <v>43806</v>
      </c>
      <c r="B343" s="8">
        <f t="shared" si="35"/>
        <v>7</v>
      </c>
      <c r="C343" s="9">
        <f t="shared" si="36"/>
        <v>1.2</v>
      </c>
      <c r="D343" s="9">
        <v>5.5</v>
      </c>
      <c r="E343" s="9">
        <f t="shared" si="37"/>
        <v>35.918420710107434</v>
      </c>
      <c r="F343" s="9">
        <v>7.1</v>
      </c>
      <c r="G343" s="9">
        <f t="shared" si="38"/>
        <v>32.636058996420097</v>
      </c>
      <c r="H343" s="9">
        <v>4.4000000000000004</v>
      </c>
      <c r="I343" s="9">
        <f t="shared" si="39"/>
        <v>39.58113921920927</v>
      </c>
      <c r="J343" s="9">
        <v>1.5</v>
      </c>
      <c r="K343" s="9">
        <f t="shared" si="40"/>
        <v>47.916075984300846</v>
      </c>
      <c r="L343" s="6">
        <f t="shared" ca="1" si="41"/>
        <v>160</v>
      </c>
    </row>
    <row r="344" spans="1:12" ht="18.25" customHeight="1">
      <c r="A344" s="7">
        <v>43807</v>
      </c>
      <c r="B344" s="8">
        <f t="shared" si="35"/>
        <v>1</v>
      </c>
      <c r="C344" s="9">
        <f t="shared" si="36"/>
        <v>1.5</v>
      </c>
      <c r="D344" s="9">
        <v>7.4</v>
      </c>
      <c r="E344" s="9">
        <f t="shared" si="37"/>
        <v>38.351845054763807</v>
      </c>
      <c r="F344" s="9">
        <v>13.2</v>
      </c>
      <c r="G344" s="9">
        <f t="shared" si="38"/>
        <v>40.287574947193079</v>
      </c>
      <c r="H344" s="9">
        <v>2.2000000000000002</v>
      </c>
      <c r="I344" s="9">
        <f t="shared" si="39"/>
        <v>36.860465027483812</v>
      </c>
      <c r="J344" s="9">
        <v>0</v>
      </c>
      <c r="K344" s="9">
        <f t="shared" si="40"/>
        <v>47.055956573373379</v>
      </c>
      <c r="L344" s="6">
        <f t="shared" ca="1" si="41"/>
        <v>202</v>
      </c>
    </row>
    <row r="345" spans="1:12" ht="18.25" customHeight="1">
      <c r="A345" s="7">
        <v>43808</v>
      </c>
      <c r="B345" s="8">
        <f t="shared" si="35"/>
        <v>2</v>
      </c>
      <c r="C345" s="9">
        <f t="shared" si="36"/>
        <v>0.6</v>
      </c>
      <c r="D345" s="9">
        <v>6.4</v>
      </c>
      <c r="E345" s="9">
        <f t="shared" si="37"/>
        <v>37.071095399681511</v>
      </c>
      <c r="F345" s="9">
        <v>9.5</v>
      </c>
      <c r="G345" s="9">
        <f t="shared" si="38"/>
        <v>35.646491501642259</v>
      </c>
      <c r="H345" s="9">
        <v>3.5</v>
      </c>
      <c r="I345" s="9">
        <f t="shared" si="39"/>
        <v>38.468136140776124</v>
      </c>
      <c r="J345" s="9">
        <v>1</v>
      </c>
      <c r="K345" s="9">
        <f t="shared" si="40"/>
        <v>47.629369513991691</v>
      </c>
      <c r="L345" s="6">
        <f t="shared" ca="1" si="41"/>
        <v>85</v>
      </c>
    </row>
    <row r="346" spans="1:12" ht="18.25" customHeight="1">
      <c r="A346" s="7">
        <v>43809</v>
      </c>
      <c r="B346" s="8">
        <f t="shared" si="35"/>
        <v>3</v>
      </c>
      <c r="C346" s="9">
        <f t="shared" si="36"/>
        <v>0.8</v>
      </c>
      <c r="D346" s="9">
        <v>10.199999999999999</v>
      </c>
      <c r="E346" s="9">
        <f t="shared" si="37"/>
        <v>41.937944088994257</v>
      </c>
      <c r="F346" s="9">
        <v>14.3</v>
      </c>
      <c r="G346" s="9">
        <f t="shared" si="38"/>
        <v>41.667356512086577</v>
      </c>
      <c r="H346" s="9">
        <v>6.6</v>
      </c>
      <c r="I346" s="9">
        <f t="shared" si="39"/>
        <v>42.301813410934727</v>
      </c>
      <c r="J346" s="9">
        <v>5.5</v>
      </c>
      <c r="K346" s="9">
        <f t="shared" si="40"/>
        <v>50.209727746774092</v>
      </c>
      <c r="L346" s="6">
        <f t="shared" ca="1" si="41"/>
        <v>127</v>
      </c>
    </row>
    <row r="347" spans="1:12" ht="18.25" customHeight="1">
      <c r="A347" s="7">
        <v>43810</v>
      </c>
      <c r="B347" s="8">
        <f t="shared" si="35"/>
        <v>4</v>
      </c>
      <c r="C347" s="9">
        <f t="shared" si="36"/>
        <v>1</v>
      </c>
      <c r="D347" s="9">
        <v>11.7</v>
      </c>
      <c r="E347" s="9">
        <f t="shared" si="37"/>
        <v>43.859068571617705</v>
      </c>
      <c r="F347" s="9">
        <v>15.3</v>
      </c>
      <c r="G347" s="9">
        <f t="shared" si="38"/>
        <v>42.921703389262476</v>
      </c>
      <c r="H347" s="9">
        <v>8.3000000000000007</v>
      </c>
      <c r="I347" s="9">
        <f t="shared" si="39"/>
        <v>44.404152559086214</v>
      </c>
      <c r="J347" s="9">
        <v>0.5</v>
      </c>
      <c r="K347" s="9">
        <f t="shared" si="40"/>
        <v>47.342663043682535</v>
      </c>
      <c r="L347" s="6">
        <f t="shared" ca="1" si="41"/>
        <v>151</v>
      </c>
    </row>
    <row r="348" spans="1:12" ht="18.25" customHeight="1">
      <c r="A348" s="7">
        <v>43811</v>
      </c>
      <c r="B348" s="8">
        <f t="shared" si="35"/>
        <v>5</v>
      </c>
      <c r="C348" s="9">
        <f t="shared" si="36"/>
        <v>0.8</v>
      </c>
      <c r="D348" s="9">
        <v>11.7</v>
      </c>
      <c r="E348" s="9">
        <f t="shared" si="37"/>
        <v>43.859068571617705</v>
      </c>
      <c r="F348" s="9">
        <v>18.899999999999999</v>
      </c>
      <c r="G348" s="9">
        <f t="shared" si="38"/>
        <v>47.437352147095709</v>
      </c>
      <c r="H348" s="9">
        <v>7.8</v>
      </c>
      <c r="I348" s="9">
        <f t="shared" si="39"/>
        <v>43.78581751551225</v>
      </c>
      <c r="J348" s="9">
        <v>0</v>
      </c>
      <c r="K348" s="9">
        <f t="shared" si="40"/>
        <v>47.055956573373379</v>
      </c>
      <c r="L348" s="6">
        <f t="shared" ca="1" si="41"/>
        <v>135</v>
      </c>
    </row>
    <row r="349" spans="1:12" ht="18.25" customHeight="1">
      <c r="A349" s="7">
        <v>43812</v>
      </c>
      <c r="B349" s="8">
        <f t="shared" si="35"/>
        <v>6</v>
      </c>
      <c r="C349" s="9">
        <f t="shared" si="36"/>
        <v>0.8</v>
      </c>
      <c r="D349" s="9">
        <v>7.5</v>
      </c>
      <c r="E349" s="9">
        <f t="shared" si="37"/>
        <v>38.47992002027204</v>
      </c>
      <c r="F349" s="9">
        <v>9.4</v>
      </c>
      <c r="G349" s="9">
        <f t="shared" si="38"/>
        <v>35.521056813924666</v>
      </c>
      <c r="H349" s="9">
        <v>6.5</v>
      </c>
      <c r="I349" s="9">
        <f t="shared" si="39"/>
        <v>42.178146402219937</v>
      </c>
      <c r="J349" s="9">
        <v>0</v>
      </c>
      <c r="K349" s="9">
        <f t="shared" si="40"/>
        <v>47.055956573373379</v>
      </c>
      <c r="L349" s="6">
        <f t="shared" ca="1" si="41"/>
        <v>106</v>
      </c>
    </row>
    <row r="350" spans="1:12" ht="18.25" customHeight="1">
      <c r="A350" s="7">
        <v>43813</v>
      </c>
      <c r="B350" s="8">
        <f t="shared" si="35"/>
        <v>7</v>
      </c>
      <c r="C350" s="9">
        <f t="shared" si="36"/>
        <v>1.2</v>
      </c>
      <c r="D350" s="9">
        <v>9.4</v>
      </c>
      <c r="E350" s="9">
        <f t="shared" si="37"/>
        <v>40.913344364928413</v>
      </c>
      <c r="F350" s="9">
        <v>16</v>
      </c>
      <c r="G350" s="9">
        <f t="shared" si="38"/>
        <v>43.799746203285601</v>
      </c>
      <c r="H350" s="9">
        <v>2.9</v>
      </c>
      <c r="I350" s="9">
        <f t="shared" si="39"/>
        <v>37.72613408848737</v>
      </c>
      <c r="J350" s="9">
        <v>0</v>
      </c>
      <c r="K350" s="9">
        <f t="shared" si="40"/>
        <v>47.055956573373379</v>
      </c>
      <c r="L350" s="6">
        <f t="shared" ca="1" si="41"/>
        <v>164</v>
      </c>
    </row>
    <row r="351" spans="1:12" ht="18.25" customHeight="1">
      <c r="A351" s="7">
        <v>43814</v>
      </c>
      <c r="B351" s="8">
        <f t="shared" si="35"/>
        <v>1</v>
      </c>
      <c r="C351" s="9">
        <f t="shared" si="36"/>
        <v>1.5</v>
      </c>
      <c r="D351" s="9">
        <v>8.6999999999999993</v>
      </c>
      <c r="E351" s="9">
        <f t="shared" si="37"/>
        <v>40.016819606370802</v>
      </c>
      <c r="F351" s="9">
        <v>12.5</v>
      </c>
      <c r="G351" s="9">
        <f t="shared" si="38"/>
        <v>39.409532133169954</v>
      </c>
      <c r="H351" s="9">
        <v>5.5</v>
      </c>
      <c r="I351" s="9">
        <f t="shared" si="39"/>
        <v>40.941476315071995</v>
      </c>
      <c r="J351" s="9">
        <v>0</v>
      </c>
      <c r="K351" s="9">
        <f t="shared" si="40"/>
        <v>47.055956573373379</v>
      </c>
      <c r="L351" s="6">
        <f t="shared" ca="1" si="41"/>
        <v>222</v>
      </c>
    </row>
    <row r="352" spans="1:12" ht="18.25" customHeight="1">
      <c r="A352" s="7">
        <v>43815</v>
      </c>
      <c r="B352" s="8">
        <f t="shared" si="35"/>
        <v>2</v>
      </c>
      <c r="C352" s="9">
        <f t="shared" si="36"/>
        <v>0.6</v>
      </c>
      <c r="D352" s="9">
        <v>7.8</v>
      </c>
      <c r="E352" s="9">
        <f t="shared" si="37"/>
        <v>38.864144916796732</v>
      </c>
      <c r="F352" s="9">
        <v>12.3</v>
      </c>
      <c r="G352" s="9">
        <f t="shared" si="38"/>
        <v>39.158662757734774</v>
      </c>
      <c r="H352" s="9">
        <v>2.9</v>
      </c>
      <c r="I352" s="9">
        <f t="shared" si="39"/>
        <v>37.72613408848737</v>
      </c>
      <c r="J352" s="9">
        <v>0</v>
      </c>
      <c r="K352" s="9">
        <f t="shared" si="40"/>
        <v>47.055956573373379</v>
      </c>
      <c r="L352" s="6">
        <f t="shared" ca="1" si="41"/>
        <v>96</v>
      </c>
    </row>
    <row r="353" spans="1:12" ht="18.25" customHeight="1">
      <c r="A353" s="7">
        <v>43816</v>
      </c>
      <c r="B353" s="8">
        <f t="shared" si="35"/>
        <v>3</v>
      </c>
      <c r="C353" s="9">
        <f t="shared" si="36"/>
        <v>0.8</v>
      </c>
      <c r="D353" s="9">
        <v>8.1999999999999993</v>
      </c>
      <c r="E353" s="9">
        <f t="shared" si="37"/>
        <v>39.376444778829651</v>
      </c>
      <c r="F353" s="9">
        <v>9.6999999999999993</v>
      </c>
      <c r="G353" s="9">
        <f t="shared" si="38"/>
        <v>35.897360877077432</v>
      </c>
      <c r="H353" s="9">
        <v>6</v>
      </c>
      <c r="I353" s="9">
        <f t="shared" si="39"/>
        <v>41.559811358645966</v>
      </c>
      <c r="J353" s="9">
        <v>1</v>
      </c>
      <c r="K353" s="9">
        <f t="shared" si="40"/>
        <v>47.629369513991691</v>
      </c>
      <c r="L353" s="6">
        <f t="shared" ca="1" si="41"/>
        <v>123</v>
      </c>
    </row>
    <row r="354" spans="1:12" ht="18.25" customHeight="1">
      <c r="A354" s="7">
        <v>43817</v>
      </c>
      <c r="B354" s="8">
        <f t="shared" si="35"/>
        <v>4</v>
      </c>
      <c r="C354" s="9">
        <f t="shared" si="36"/>
        <v>1</v>
      </c>
      <c r="D354" s="9">
        <v>11.1</v>
      </c>
      <c r="E354" s="9">
        <f t="shared" si="37"/>
        <v>43.090618778568327</v>
      </c>
      <c r="F354" s="9">
        <v>15.4</v>
      </c>
      <c r="G354" s="9">
        <f t="shared" si="38"/>
        <v>43.047138076980062</v>
      </c>
      <c r="H354" s="9">
        <v>6.5</v>
      </c>
      <c r="I354" s="9">
        <f t="shared" si="39"/>
        <v>42.178146402219937</v>
      </c>
      <c r="J354" s="9">
        <v>0</v>
      </c>
      <c r="K354" s="9">
        <f t="shared" si="40"/>
        <v>47.055956573373379</v>
      </c>
      <c r="L354" s="6">
        <f t="shared" ca="1" si="41"/>
        <v>148</v>
      </c>
    </row>
    <row r="355" spans="1:12" ht="18.25" customHeight="1">
      <c r="A355" s="7">
        <v>43818</v>
      </c>
      <c r="B355" s="8">
        <f t="shared" si="35"/>
        <v>5</v>
      </c>
      <c r="C355" s="9">
        <f t="shared" si="36"/>
        <v>0.8</v>
      </c>
      <c r="D355" s="9">
        <v>9</v>
      </c>
      <c r="E355" s="9">
        <f t="shared" si="37"/>
        <v>40.401044502895488</v>
      </c>
      <c r="F355" s="9">
        <v>11.1</v>
      </c>
      <c r="G355" s="9">
        <f t="shared" si="38"/>
        <v>37.653446505123696</v>
      </c>
      <c r="H355" s="9">
        <v>8</v>
      </c>
      <c r="I355" s="9">
        <f t="shared" si="39"/>
        <v>44.033151532941837</v>
      </c>
      <c r="J355" s="9">
        <v>0</v>
      </c>
      <c r="K355" s="9">
        <f t="shared" si="40"/>
        <v>47.055956573373379</v>
      </c>
      <c r="L355" s="6">
        <f t="shared" ca="1" si="41"/>
        <v>114</v>
      </c>
    </row>
    <row r="356" spans="1:12" ht="18.25" customHeight="1">
      <c r="A356" s="7">
        <v>43819</v>
      </c>
      <c r="B356" s="8">
        <f t="shared" si="35"/>
        <v>6</v>
      </c>
      <c r="C356" s="9">
        <f t="shared" si="36"/>
        <v>0.8</v>
      </c>
      <c r="D356" s="9">
        <v>10.6</v>
      </c>
      <c r="E356" s="9">
        <f t="shared" si="37"/>
        <v>42.450243951027176</v>
      </c>
      <c r="F356" s="9">
        <v>16.100000000000001</v>
      </c>
      <c r="G356" s="9">
        <f t="shared" si="38"/>
        <v>43.925180891003194</v>
      </c>
      <c r="H356" s="9">
        <v>6</v>
      </c>
      <c r="I356" s="9">
        <f t="shared" si="39"/>
        <v>41.559811358645966</v>
      </c>
      <c r="J356" s="9">
        <v>0</v>
      </c>
      <c r="K356" s="9">
        <f t="shared" si="40"/>
        <v>47.055956573373379</v>
      </c>
      <c r="L356" s="6">
        <f t="shared" ca="1" si="41"/>
        <v>120</v>
      </c>
    </row>
    <row r="357" spans="1:12" ht="18.25" customHeight="1">
      <c r="A357" s="7">
        <v>43820</v>
      </c>
      <c r="B357" s="8">
        <f t="shared" si="35"/>
        <v>7</v>
      </c>
      <c r="C357" s="9">
        <f t="shared" si="36"/>
        <v>1.2</v>
      </c>
      <c r="D357" s="9">
        <v>8.1</v>
      </c>
      <c r="E357" s="9">
        <f t="shared" si="37"/>
        <v>39.248369813321418</v>
      </c>
      <c r="F357" s="9">
        <v>9.5</v>
      </c>
      <c r="G357" s="9">
        <f t="shared" si="38"/>
        <v>35.646491501642259</v>
      </c>
      <c r="H357" s="9">
        <v>6.5</v>
      </c>
      <c r="I357" s="9">
        <f t="shared" si="39"/>
        <v>42.178146402219937</v>
      </c>
      <c r="J357" s="9">
        <v>0</v>
      </c>
      <c r="K357" s="9">
        <f t="shared" si="40"/>
        <v>47.055956573373379</v>
      </c>
      <c r="L357" s="6">
        <f t="shared" ca="1" si="41"/>
        <v>180</v>
      </c>
    </row>
    <row r="358" spans="1:12" ht="18.25" customHeight="1">
      <c r="A358" s="7">
        <v>43821</v>
      </c>
      <c r="B358" s="8">
        <f t="shared" si="35"/>
        <v>1</v>
      </c>
      <c r="C358" s="9">
        <f t="shared" si="36"/>
        <v>1.5</v>
      </c>
      <c r="D358" s="9">
        <v>6.8</v>
      </c>
      <c r="E358" s="9">
        <f t="shared" si="37"/>
        <v>37.583395261714429</v>
      </c>
      <c r="F358" s="9">
        <v>9</v>
      </c>
      <c r="G358" s="9">
        <f t="shared" si="38"/>
        <v>35.019318063054307</v>
      </c>
      <c r="H358" s="9">
        <v>5.0999999999999996</v>
      </c>
      <c r="I358" s="9">
        <f t="shared" si="39"/>
        <v>40.446808280212821</v>
      </c>
      <c r="J358" s="9">
        <v>16.5</v>
      </c>
      <c r="K358" s="9">
        <f t="shared" si="40"/>
        <v>56.517270093575519</v>
      </c>
      <c r="L358" s="6">
        <f t="shared" ca="1" si="41"/>
        <v>199</v>
      </c>
    </row>
    <row r="359" spans="1:12" ht="18.25" customHeight="1">
      <c r="A359" s="7">
        <v>43822</v>
      </c>
      <c r="B359" s="8">
        <f t="shared" si="35"/>
        <v>2</v>
      </c>
      <c r="C359" s="9">
        <f t="shared" si="36"/>
        <v>0.6</v>
      </c>
      <c r="D359" s="9">
        <v>6.8</v>
      </c>
      <c r="E359" s="9">
        <f t="shared" si="37"/>
        <v>37.583395261714429</v>
      </c>
      <c r="F359" s="9">
        <v>12</v>
      </c>
      <c r="G359" s="9">
        <f t="shared" si="38"/>
        <v>38.782358694582001</v>
      </c>
      <c r="H359" s="9">
        <v>3.5</v>
      </c>
      <c r="I359" s="9">
        <f t="shared" si="39"/>
        <v>38.468136140776124</v>
      </c>
      <c r="J359" s="9">
        <v>13.5</v>
      </c>
      <c r="K359" s="9">
        <f t="shared" si="40"/>
        <v>54.797031271720584</v>
      </c>
      <c r="L359" s="6">
        <f t="shared" ca="1" si="41"/>
        <v>70</v>
      </c>
    </row>
    <row r="360" spans="1:12" ht="18.25" customHeight="1">
      <c r="A360" s="7">
        <v>43823</v>
      </c>
      <c r="B360" s="8">
        <f t="shared" si="35"/>
        <v>3</v>
      </c>
      <c r="C360" s="9">
        <f t="shared" si="36"/>
        <v>0.8</v>
      </c>
      <c r="D360" s="9">
        <v>8.1999999999999993</v>
      </c>
      <c r="E360" s="9">
        <f t="shared" si="37"/>
        <v>39.376444778829651</v>
      </c>
      <c r="F360" s="9">
        <v>12.6</v>
      </c>
      <c r="G360" s="9">
        <f t="shared" si="38"/>
        <v>39.534966820887547</v>
      </c>
      <c r="H360" s="9">
        <v>5</v>
      </c>
      <c r="I360" s="9">
        <f t="shared" si="39"/>
        <v>40.323141271498031</v>
      </c>
      <c r="J360" s="9">
        <v>0</v>
      </c>
      <c r="K360" s="9">
        <f t="shared" si="40"/>
        <v>47.055956573373379</v>
      </c>
      <c r="L360" s="6">
        <f t="shared" ca="1" si="41"/>
        <v>113</v>
      </c>
    </row>
    <row r="361" spans="1:12" ht="18.25" customHeight="1">
      <c r="A361" s="7">
        <v>43824</v>
      </c>
      <c r="B361" s="8">
        <f t="shared" si="35"/>
        <v>4</v>
      </c>
      <c r="C361" s="9">
        <f t="shared" si="36"/>
        <v>1</v>
      </c>
      <c r="D361" s="9">
        <v>5.9</v>
      </c>
      <c r="E361" s="9">
        <f t="shared" si="37"/>
        <v>36.430720572140359</v>
      </c>
      <c r="F361" s="9">
        <v>8.9</v>
      </c>
      <c r="G361" s="9">
        <f t="shared" si="38"/>
        <v>34.893883375336713</v>
      </c>
      <c r="H361" s="9">
        <v>4.2</v>
      </c>
      <c r="I361" s="9">
        <f t="shared" si="39"/>
        <v>39.333805201779683</v>
      </c>
      <c r="J361" s="9">
        <v>0</v>
      </c>
      <c r="K361" s="9">
        <f t="shared" si="40"/>
        <v>47.055956573373379</v>
      </c>
      <c r="L361" s="6">
        <f t="shared" ca="1" si="41"/>
        <v>124</v>
      </c>
    </row>
    <row r="362" spans="1:12" ht="18.25" customHeight="1">
      <c r="A362" s="7">
        <v>43825</v>
      </c>
      <c r="B362" s="8">
        <f t="shared" si="35"/>
        <v>5</v>
      </c>
      <c r="C362" s="9">
        <f t="shared" si="36"/>
        <v>0.8</v>
      </c>
      <c r="D362" s="9">
        <v>7.8</v>
      </c>
      <c r="E362" s="9">
        <f t="shared" si="37"/>
        <v>38.864144916796732</v>
      </c>
      <c r="F362" s="9">
        <v>11.5</v>
      </c>
      <c r="G362" s="9">
        <f t="shared" si="38"/>
        <v>38.155185255994056</v>
      </c>
      <c r="H362" s="9">
        <v>3.8</v>
      </c>
      <c r="I362" s="9">
        <f t="shared" si="39"/>
        <v>38.839137166920509</v>
      </c>
      <c r="J362" s="9">
        <v>0</v>
      </c>
      <c r="K362" s="9">
        <f t="shared" si="40"/>
        <v>47.055956573373379</v>
      </c>
      <c r="L362" s="6">
        <f t="shared" ca="1" si="41"/>
        <v>124</v>
      </c>
    </row>
    <row r="363" spans="1:12" ht="18.25" customHeight="1">
      <c r="A363" s="7">
        <v>43826</v>
      </c>
      <c r="B363" s="8">
        <f t="shared" si="35"/>
        <v>6</v>
      </c>
      <c r="C363" s="9">
        <f t="shared" si="36"/>
        <v>0.8</v>
      </c>
      <c r="D363" s="9">
        <v>8.6999999999999993</v>
      </c>
      <c r="E363" s="9">
        <f t="shared" si="37"/>
        <v>40.016819606370802</v>
      </c>
      <c r="F363" s="9">
        <v>13.7</v>
      </c>
      <c r="G363" s="9">
        <f t="shared" si="38"/>
        <v>40.914748385781031</v>
      </c>
      <c r="H363" s="9">
        <v>4.5</v>
      </c>
      <c r="I363" s="9">
        <f t="shared" si="39"/>
        <v>39.704806227924067</v>
      </c>
      <c r="J363" s="9">
        <v>0.5</v>
      </c>
      <c r="K363" s="9">
        <f t="shared" si="40"/>
        <v>47.342663043682535</v>
      </c>
      <c r="L363" s="6">
        <f t="shared" ca="1" si="41"/>
        <v>107</v>
      </c>
    </row>
    <row r="364" spans="1:12" ht="18.25" customHeight="1">
      <c r="A364" s="7">
        <v>43827</v>
      </c>
      <c r="B364" s="8">
        <f t="shared" si="35"/>
        <v>7</v>
      </c>
      <c r="C364" s="9">
        <f t="shared" si="36"/>
        <v>1.2</v>
      </c>
      <c r="D364" s="9">
        <v>6.8</v>
      </c>
      <c r="E364" s="9">
        <f t="shared" si="37"/>
        <v>37.583395261714429</v>
      </c>
      <c r="F364" s="9">
        <v>10.9</v>
      </c>
      <c r="G364" s="9">
        <f t="shared" si="38"/>
        <v>37.402577129688517</v>
      </c>
      <c r="H364" s="9">
        <v>3.8</v>
      </c>
      <c r="I364" s="9">
        <f t="shared" si="39"/>
        <v>38.839137166920509</v>
      </c>
      <c r="J364" s="9">
        <v>0</v>
      </c>
      <c r="K364" s="9">
        <f t="shared" si="40"/>
        <v>47.055956573373379</v>
      </c>
      <c r="L364" s="6">
        <f t="shared" ca="1" si="41"/>
        <v>162</v>
      </c>
    </row>
    <row r="365" spans="1:12" ht="18.25" customHeight="1">
      <c r="A365" s="7">
        <v>43828</v>
      </c>
      <c r="B365" s="8">
        <f t="shared" si="35"/>
        <v>1</v>
      </c>
      <c r="C365" s="9">
        <f t="shared" si="36"/>
        <v>1.5</v>
      </c>
      <c r="D365" s="9">
        <v>7</v>
      </c>
      <c r="E365" s="9">
        <f t="shared" si="37"/>
        <v>37.839545192730888</v>
      </c>
      <c r="F365" s="9">
        <v>10.9</v>
      </c>
      <c r="G365" s="9">
        <f t="shared" si="38"/>
        <v>37.402577129688517</v>
      </c>
      <c r="H365" s="9">
        <v>2.2000000000000002</v>
      </c>
      <c r="I365" s="9">
        <f t="shared" si="39"/>
        <v>36.860465027483812</v>
      </c>
      <c r="J365" s="9">
        <v>0</v>
      </c>
      <c r="K365" s="9">
        <f t="shared" si="40"/>
        <v>47.055956573373379</v>
      </c>
      <c r="L365" s="6">
        <f t="shared" ca="1" si="41"/>
        <v>193</v>
      </c>
    </row>
    <row r="366" spans="1:12" ht="18.25" customHeight="1">
      <c r="A366" s="7">
        <v>43829</v>
      </c>
      <c r="B366" s="8">
        <f t="shared" si="35"/>
        <v>2</v>
      </c>
      <c r="C366" s="9">
        <f t="shared" si="36"/>
        <v>0.6</v>
      </c>
      <c r="D366" s="9">
        <v>6.7</v>
      </c>
      <c r="E366" s="9">
        <f t="shared" si="37"/>
        <v>37.455320296206196</v>
      </c>
      <c r="F366" s="9">
        <v>8.8000000000000007</v>
      </c>
      <c r="G366" s="9">
        <f t="shared" si="38"/>
        <v>34.768448687619127</v>
      </c>
      <c r="H366" s="9">
        <v>5.0999999999999996</v>
      </c>
      <c r="I366" s="9">
        <f t="shared" si="39"/>
        <v>40.446808280212821</v>
      </c>
      <c r="J366" s="9">
        <v>0.5</v>
      </c>
      <c r="K366" s="9">
        <f t="shared" si="40"/>
        <v>47.342663043682535</v>
      </c>
      <c r="L366" s="6">
        <f t="shared" ca="1" si="41"/>
        <v>97</v>
      </c>
    </row>
    <row r="367" spans="1:12" ht="18.25" customHeight="1">
      <c r="A367" s="7">
        <v>43830</v>
      </c>
      <c r="B367" s="8">
        <f t="shared" si="35"/>
        <v>3</v>
      </c>
      <c r="C367" s="9">
        <f t="shared" si="36"/>
        <v>0.8</v>
      </c>
      <c r="D367" s="9">
        <v>8.1999999999999993</v>
      </c>
      <c r="E367" s="9">
        <f t="shared" si="37"/>
        <v>39.376444778829651</v>
      </c>
      <c r="F367" s="9">
        <v>16.5</v>
      </c>
      <c r="G367" s="9">
        <f t="shared" si="38"/>
        <v>44.426919641873553</v>
      </c>
      <c r="H367" s="9">
        <v>3.7</v>
      </c>
      <c r="I367" s="9">
        <f t="shared" si="39"/>
        <v>38.715470158205719</v>
      </c>
      <c r="J367" s="9">
        <v>0</v>
      </c>
      <c r="K367" s="9">
        <f t="shared" si="40"/>
        <v>47.055956573373379</v>
      </c>
      <c r="L367" s="6">
        <f t="shared" ca="1" si="41"/>
        <v>119</v>
      </c>
    </row>
  </sheetData>
  <mergeCells count="1">
    <mergeCell ref="A1:L1"/>
  </mergeCells>
  <phoneticPr fontId="4"/>
  <pageMargins left="0.5" right="0.5" top="0.75" bottom="0.75" header="0.27777800000000002" footer="0.27777800000000002"/>
  <pageSetup scale="72" orientation="portrait"/>
  <headerFooter>
    <oddFooter>&amp;C&amp;"ヒラギノ角ゴ ProN W3,Regular"&amp;12&amp;K000000&amp;P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BCF5-CDB3-524C-A533-0AE9E88ECA67}">
  <dimension ref="A1:G3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H11" sqref="H11"/>
    </sheetView>
  </sheetViews>
  <sheetFormatPr baseColWidth="10" defaultColWidth="19.5703125" defaultRowHeight="20" customHeight="1"/>
  <cols>
    <col min="1" max="6" width="19.5703125" style="1" customWidth="1"/>
    <col min="7" max="7" width="15.42578125" style="1" customWidth="1"/>
    <col min="8" max="8" width="19.5703125" style="1" customWidth="1"/>
    <col min="9" max="16384" width="19.5703125" style="1"/>
  </cols>
  <sheetData>
    <row r="1" spans="1:7" ht="26" customHeight="1">
      <c r="A1" s="39" t="s">
        <v>0</v>
      </c>
      <c r="B1" s="39"/>
      <c r="C1" s="39"/>
      <c r="D1" s="39"/>
      <c r="E1" s="39"/>
      <c r="F1" s="39"/>
      <c r="G1" s="39"/>
    </row>
    <row r="2" spans="1:7" ht="33.5" customHeight="1">
      <c r="A2" s="2"/>
      <c r="B2" s="2" t="s">
        <v>12</v>
      </c>
      <c r="C2" s="3" t="s">
        <v>2</v>
      </c>
      <c r="D2" s="3" t="s">
        <v>4</v>
      </c>
      <c r="E2" s="3" t="s">
        <v>6</v>
      </c>
      <c r="F2" s="3" t="s">
        <v>8</v>
      </c>
      <c r="G2" s="3" t="s">
        <v>10</v>
      </c>
    </row>
    <row r="3" spans="1:7" ht="18.5" customHeight="1">
      <c r="A3" s="4">
        <v>43466</v>
      </c>
      <c r="B3" s="5">
        <f t="shared" ref="B3:B66" si="0">WEEKDAY($A3)</f>
        <v>3</v>
      </c>
      <c r="C3" s="6">
        <v>5.3</v>
      </c>
      <c r="D3" s="6">
        <v>10.7</v>
      </c>
      <c r="E3" s="6">
        <v>0.9</v>
      </c>
      <c r="F3" s="6">
        <v>0</v>
      </c>
      <c r="G3" s="6">
        <v>101</v>
      </c>
    </row>
    <row r="4" spans="1:7" ht="18.25" customHeight="1">
      <c r="A4" s="7">
        <v>43467</v>
      </c>
      <c r="B4" s="8">
        <f t="shared" si="0"/>
        <v>4</v>
      </c>
      <c r="C4" s="9">
        <v>6.2</v>
      </c>
      <c r="D4" s="9">
        <v>10.9</v>
      </c>
      <c r="E4" s="9">
        <v>2.2000000000000002</v>
      </c>
      <c r="F4" s="9">
        <v>0</v>
      </c>
      <c r="G4" s="9">
        <v>119</v>
      </c>
    </row>
    <row r="5" spans="1:7" ht="18.25" customHeight="1">
      <c r="A5" s="7">
        <v>43468</v>
      </c>
      <c r="B5" s="8">
        <f t="shared" si="0"/>
        <v>5</v>
      </c>
      <c r="C5" s="9">
        <v>4.9000000000000004</v>
      </c>
      <c r="D5" s="9">
        <v>10.9</v>
      </c>
      <c r="E5" s="9">
        <v>-0.3</v>
      </c>
      <c r="F5" s="9">
        <v>0</v>
      </c>
      <c r="G5" s="9">
        <v>98</v>
      </c>
    </row>
    <row r="6" spans="1:7" ht="18.25" customHeight="1">
      <c r="A6" s="7">
        <v>43469</v>
      </c>
      <c r="B6" s="8">
        <f t="shared" si="0"/>
        <v>6</v>
      </c>
      <c r="C6" s="9">
        <v>5.0999999999999996</v>
      </c>
      <c r="D6" s="9">
        <v>9.8000000000000007</v>
      </c>
      <c r="E6" s="9">
        <v>0.2</v>
      </c>
      <c r="F6" s="9">
        <v>0</v>
      </c>
      <c r="G6" s="9">
        <v>106</v>
      </c>
    </row>
    <row r="7" spans="1:7" ht="18.25" customHeight="1">
      <c r="A7" s="7">
        <v>43470</v>
      </c>
      <c r="B7" s="8">
        <f t="shared" si="0"/>
        <v>7</v>
      </c>
      <c r="C7" s="9">
        <v>7.4</v>
      </c>
      <c r="D7" s="9">
        <v>14</v>
      </c>
      <c r="E7" s="9">
        <v>0.9</v>
      </c>
      <c r="F7" s="9">
        <v>0</v>
      </c>
      <c r="G7" s="9">
        <v>174</v>
      </c>
    </row>
    <row r="8" spans="1:7" ht="18.25" customHeight="1">
      <c r="A8" s="7">
        <v>43471</v>
      </c>
      <c r="B8" s="8">
        <f t="shared" si="0"/>
        <v>1</v>
      </c>
      <c r="C8" s="9">
        <v>5.3</v>
      </c>
      <c r="D8" s="9">
        <v>8</v>
      </c>
      <c r="E8" s="9">
        <v>2.4</v>
      </c>
      <c r="F8" s="9">
        <v>0</v>
      </c>
      <c r="G8" s="9">
        <v>206</v>
      </c>
    </row>
    <row r="9" spans="1:7" ht="18.25" customHeight="1">
      <c r="A9" s="7">
        <v>43472</v>
      </c>
      <c r="B9" s="8">
        <f t="shared" si="0"/>
        <v>2</v>
      </c>
      <c r="C9" s="9">
        <v>5.4</v>
      </c>
      <c r="D9" s="9">
        <v>10.6</v>
      </c>
      <c r="E9" s="9">
        <v>0.4</v>
      </c>
      <c r="F9" s="9">
        <v>0</v>
      </c>
      <c r="G9" s="9">
        <v>90</v>
      </c>
    </row>
    <row r="10" spans="1:7" ht="18.25" customHeight="1">
      <c r="A10" s="7">
        <v>43473</v>
      </c>
      <c r="B10" s="8">
        <f t="shared" si="0"/>
        <v>3</v>
      </c>
      <c r="C10" s="9">
        <v>4.5999999999999996</v>
      </c>
      <c r="D10" s="9">
        <v>9.8000000000000007</v>
      </c>
      <c r="E10" s="9">
        <v>0.7</v>
      </c>
      <c r="F10" s="9">
        <v>0</v>
      </c>
      <c r="G10" s="9">
        <v>110</v>
      </c>
    </row>
    <row r="11" spans="1:7" ht="18.25" customHeight="1">
      <c r="A11" s="7">
        <v>43474</v>
      </c>
      <c r="B11" s="8">
        <f t="shared" si="0"/>
        <v>4</v>
      </c>
      <c r="C11" s="9">
        <v>4.5</v>
      </c>
      <c r="D11" s="9">
        <v>8</v>
      </c>
      <c r="E11" s="9">
        <v>1</v>
      </c>
      <c r="F11" s="9">
        <v>0</v>
      </c>
      <c r="G11" s="9">
        <v>117</v>
      </c>
    </row>
    <row r="12" spans="1:7" ht="18.25" customHeight="1">
      <c r="A12" s="7">
        <v>43475</v>
      </c>
      <c r="B12" s="8">
        <f t="shared" si="0"/>
        <v>5</v>
      </c>
      <c r="C12" s="9">
        <v>2</v>
      </c>
      <c r="D12" s="9">
        <v>5.2</v>
      </c>
      <c r="E12" s="9">
        <v>-1.2</v>
      </c>
      <c r="F12" s="9">
        <v>0</v>
      </c>
      <c r="G12" s="9">
        <v>104</v>
      </c>
    </row>
    <row r="13" spans="1:7" ht="18.25" customHeight="1">
      <c r="A13" s="7">
        <v>43476</v>
      </c>
      <c r="B13" s="8">
        <f t="shared" si="0"/>
        <v>6</v>
      </c>
      <c r="C13" s="9">
        <v>6.4</v>
      </c>
      <c r="D13" s="9">
        <v>12.2</v>
      </c>
      <c r="E13" s="9">
        <v>-0.2</v>
      </c>
      <c r="F13" s="9">
        <v>0</v>
      </c>
      <c r="G13" s="9">
        <v>117</v>
      </c>
    </row>
    <row r="14" spans="1:7" ht="18.25" customHeight="1">
      <c r="A14" s="7">
        <v>43477</v>
      </c>
      <c r="B14" s="8">
        <f t="shared" si="0"/>
        <v>7</v>
      </c>
      <c r="C14" s="9">
        <v>4.5999999999999996</v>
      </c>
      <c r="D14" s="9">
        <v>6.2</v>
      </c>
      <c r="E14" s="9">
        <v>2.7</v>
      </c>
      <c r="F14" s="9">
        <v>0</v>
      </c>
      <c r="G14" s="9">
        <v>161</v>
      </c>
    </row>
    <row r="15" spans="1:7" ht="18.25" customHeight="1">
      <c r="A15" s="7">
        <v>43478</v>
      </c>
      <c r="B15" s="8">
        <f t="shared" si="0"/>
        <v>1</v>
      </c>
      <c r="C15" s="9">
        <v>6.2</v>
      </c>
      <c r="D15" s="9">
        <v>10.1</v>
      </c>
      <c r="E15" s="9">
        <v>3.9</v>
      </c>
      <c r="F15" s="9">
        <v>0</v>
      </c>
      <c r="G15" s="9">
        <v>176</v>
      </c>
    </row>
    <row r="16" spans="1:7" ht="18.25" customHeight="1">
      <c r="A16" s="7">
        <v>43479</v>
      </c>
      <c r="B16" s="8">
        <f t="shared" si="0"/>
        <v>2</v>
      </c>
      <c r="C16" s="9">
        <v>5.6</v>
      </c>
      <c r="D16" s="9">
        <v>9.8000000000000007</v>
      </c>
      <c r="E16" s="9">
        <v>1.3</v>
      </c>
      <c r="F16" s="9">
        <v>0</v>
      </c>
      <c r="G16" s="9">
        <v>87</v>
      </c>
    </row>
    <row r="17" spans="1:7" ht="18.25" customHeight="1">
      <c r="A17" s="7">
        <v>43480</v>
      </c>
      <c r="B17" s="8">
        <f t="shared" si="0"/>
        <v>3</v>
      </c>
      <c r="C17" s="9">
        <v>5.6</v>
      </c>
      <c r="D17" s="9">
        <v>10.5</v>
      </c>
      <c r="E17" s="9">
        <v>0.4</v>
      </c>
      <c r="F17" s="9">
        <v>0.5</v>
      </c>
      <c r="G17" s="9">
        <v>100</v>
      </c>
    </row>
    <row r="18" spans="1:7" ht="18.25" customHeight="1">
      <c r="A18" s="7">
        <v>43481</v>
      </c>
      <c r="B18" s="8">
        <f t="shared" si="0"/>
        <v>4</v>
      </c>
      <c r="C18" s="9">
        <v>6.6</v>
      </c>
      <c r="D18" s="9">
        <v>11.3</v>
      </c>
      <c r="E18" s="9">
        <v>1.8</v>
      </c>
      <c r="F18" s="9">
        <v>0</v>
      </c>
      <c r="G18" s="9">
        <v>130</v>
      </c>
    </row>
    <row r="19" spans="1:7" ht="18.25" customHeight="1">
      <c r="A19" s="7">
        <v>43482</v>
      </c>
      <c r="B19" s="8">
        <f t="shared" si="0"/>
        <v>5</v>
      </c>
      <c r="C19" s="9">
        <v>6.6</v>
      </c>
      <c r="D19" s="9">
        <v>11.6</v>
      </c>
      <c r="E19" s="9">
        <v>2</v>
      </c>
      <c r="F19" s="9">
        <v>0</v>
      </c>
      <c r="G19" s="9">
        <v>117</v>
      </c>
    </row>
    <row r="20" spans="1:7" ht="18.25" customHeight="1">
      <c r="A20" s="7">
        <v>43483</v>
      </c>
      <c r="B20" s="8">
        <f t="shared" si="0"/>
        <v>6</v>
      </c>
      <c r="C20" s="9">
        <v>5.9</v>
      </c>
      <c r="D20" s="9">
        <v>10</v>
      </c>
      <c r="E20" s="9">
        <v>2.8</v>
      </c>
      <c r="F20" s="9">
        <v>0</v>
      </c>
      <c r="G20" s="9">
        <v>102</v>
      </c>
    </row>
    <row r="21" spans="1:7" ht="18.25" customHeight="1">
      <c r="A21" s="7">
        <v>43484</v>
      </c>
      <c r="B21" s="8">
        <f t="shared" si="0"/>
        <v>7</v>
      </c>
      <c r="C21" s="9">
        <v>6.6</v>
      </c>
      <c r="D21" s="9">
        <v>11.7</v>
      </c>
      <c r="E21" s="9">
        <v>1.9</v>
      </c>
      <c r="F21" s="9">
        <v>0</v>
      </c>
      <c r="G21" s="9">
        <v>160</v>
      </c>
    </row>
    <row r="22" spans="1:7" ht="18.25" customHeight="1">
      <c r="A22" s="7">
        <v>43485</v>
      </c>
      <c r="B22" s="8">
        <f t="shared" si="0"/>
        <v>1</v>
      </c>
      <c r="C22" s="9">
        <v>7.1</v>
      </c>
      <c r="D22" s="9">
        <v>12</v>
      </c>
      <c r="E22" s="9">
        <v>1.8</v>
      </c>
      <c r="F22" s="9">
        <v>0</v>
      </c>
      <c r="G22" s="9">
        <v>187</v>
      </c>
    </row>
    <row r="23" spans="1:7" ht="18.25" customHeight="1">
      <c r="A23" s="7">
        <v>43486</v>
      </c>
      <c r="B23" s="8">
        <f t="shared" si="0"/>
        <v>2</v>
      </c>
      <c r="C23" s="9">
        <v>5.8</v>
      </c>
      <c r="D23" s="9">
        <v>10.5</v>
      </c>
      <c r="E23" s="9">
        <v>2.5</v>
      </c>
      <c r="F23" s="9">
        <v>0</v>
      </c>
      <c r="G23" s="9">
        <v>90</v>
      </c>
    </row>
    <row r="24" spans="1:7" ht="18.25" customHeight="1">
      <c r="A24" s="7">
        <v>43487</v>
      </c>
      <c r="B24" s="8">
        <f t="shared" si="0"/>
        <v>3</v>
      </c>
      <c r="C24" s="9">
        <v>5</v>
      </c>
      <c r="D24" s="9">
        <v>10.6</v>
      </c>
      <c r="E24" s="9">
        <v>-0.2</v>
      </c>
      <c r="F24" s="9">
        <v>0</v>
      </c>
      <c r="G24" s="9">
        <v>98</v>
      </c>
    </row>
    <row r="25" spans="1:7" ht="18.25" customHeight="1">
      <c r="A25" s="7">
        <v>43488</v>
      </c>
      <c r="B25" s="8">
        <f t="shared" si="0"/>
        <v>4</v>
      </c>
      <c r="C25" s="9">
        <v>6.7</v>
      </c>
      <c r="D25" s="9">
        <v>11.2</v>
      </c>
      <c r="E25" s="9">
        <v>1.7</v>
      </c>
      <c r="F25" s="9">
        <v>0</v>
      </c>
      <c r="G25" s="9">
        <v>139</v>
      </c>
    </row>
    <row r="26" spans="1:7" ht="18.25" customHeight="1">
      <c r="A26" s="7">
        <v>43489</v>
      </c>
      <c r="B26" s="8">
        <f t="shared" si="0"/>
        <v>5</v>
      </c>
      <c r="C26" s="9">
        <v>6.2</v>
      </c>
      <c r="D26" s="9">
        <v>10.199999999999999</v>
      </c>
      <c r="E26" s="9">
        <v>3.4</v>
      </c>
      <c r="F26" s="9">
        <v>0</v>
      </c>
      <c r="G26" s="9">
        <v>112</v>
      </c>
    </row>
    <row r="27" spans="1:7" ht="18.25" customHeight="1">
      <c r="A27" s="7">
        <v>43490</v>
      </c>
      <c r="B27" s="8">
        <f t="shared" si="0"/>
        <v>6</v>
      </c>
      <c r="C27" s="9">
        <v>6</v>
      </c>
      <c r="D27" s="9">
        <v>10</v>
      </c>
      <c r="E27" s="9">
        <v>2.8</v>
      </c>
      <c r="F27" s="9">
        <v>0</v>
      </c>
      <c r="G27" s="9">
        <v>111</v>
      </c>
    </row>
    <row r="28" spans="1:7" ht="18.25" customHeight="1">
      <c r="A28" s="7">
        <v>43491</v>
      </c>
      <c r="B28" s="8">
        <f t="shared" si="0"/>
        <v>7</v>
      </c>
      <c r="C28" s="9">
        <v>4.5</v>
      </c>
      <c r="D28" s="9">
        <v>9.9</v>
      </c>
      <c r="E28" s="9">
        <v>1.5</v>
      </c>
      <c r="F28" s="9">
        <v>0</v>
      </c>
      <c r="G28" s="9">
        <v>152</v>
      </c>
    </row>
    <row r="29" spans="1:7" ht="18.25" customHeight="1">
      <c r="A29" s="7">
        <v>43492</v>
      </c>
      <c r="B29" s="8">
        <f t="shared" si="0"/>
        <v>1</v>
      </c>
      <c r="C29" s="9">
        <v>4.5999999999999996</v>
      </c>
      <c r="D29" s="9">
        <v>9.6999999999999993</v>
      </c>
      <c r="E29" s="9">
        <v>1.1000000000000001</v>
      </c>
      <c r="F29" s="9">
        <v>0</v>
      </c>
      <c r="G29" s="9">
        <v>170</v>
      </c>
    </row>
    <row r="30" spans="1:7" ht="18.25" customHeight="1">
      <c r="A30" s="7">
        <v>43493</v>
      </c>
      <c r="B30" s="8">
        <f t="shared" si="0"/>
        <v>2</v>
      </c>
      <c r="C30" s="9">
        <v>6.5</v>
      </c>
      <c r="D30" s="9">
        <v>13.2</v>
      </c>
      <c r="E30" s="9">
        <v>0</v>
      </c>
      <c r="F30" s="9">
        <v>0</v>
      </c>
      <c r="G30" s="9">
        <v>80</v>
      </c>
    </row>
    <row r="31" spans="1:7" ht="18.25" customHeight="1">
      <c r="A31" s="7">
        <v>43494</v>
      </c>
      <c r="B31" s="8">
        <f t="shared" si="0"/>
        <v>3</v>
      </c>
      <c r="C31" s="9">
        <v>6</v>
      </c>
      <c r="D31" s="9">
        <v>9.9</v>
      </c>
      <c r="E31" s="9">
        <v>3</v>
      </c>
      <c r="F31" s="9">
        <v>0</v>
      </c>
      <c r="G31" s="9">
        <v>115</v>
      </c>
    </row>
    <row r="32" spans="1:7" ht="18.25" customHeight="1">
      <c r="A32" s="7">
        <v>43495</v>
      </c>
      <c r="B32" s="8">
        <f t="shared" si="0"/>
        <v>4</v>
      </c>
      <c r="C32" s="9">
        <v>5.2</v>
      </c>
      <c r="D32" s="9">
        <v>10</v>
      </c>
      <c r="E32" s="9">
        <v>0.2</v>
      </c>
      <c r="F32" s="9">
        <v>0</v>
      </c>
      <c r="G32" s="9">
        <v>120</v>
      </c>
    </row>
    <row r="33" spans="1:7" ht="18.25" customHeight="1">
      <c r="A33" s="7">
        <v>43496</v>
      </c>
      <c r="B33" s="8">
        <f t="shared" si="0"/>
        <v>5</v>
      </c>
      <c r="C33" s="9">
        <v>5.0999999999999996</v>
      </c>
      <c r="D33" s="9">
        <v>11.2</v>
      </c>
      <c r="E33" s="9">
        <v>1.7</v>
      </c>
      <c r="F33" s="9">
        <v>15.5</v>
      </c>
      <c r="G33" s="9">
        <v>94</v>
      </c>
    </row>
    <row r="34" spans="1:7" ht="18.25" customHeight="1">
      <c r="A34" s="7">
        <v>43497</v>
      </c>
      <c r="B34" s="8">
        <f t="shared" si="0"/>
        <v>6</v>
      </c>
      <c r="C34" s="9">
        <v>4.0999999999999996</v>
      </c>
      <c r="D34" s="9">
        <v>8.3000000000000007</v>
      </c>
      <c r="E34" s="9">
        <v>1.3</v>
      </c>
      <c r="F34" s="9">
        <v>0</v>
      </c>
      <c r="G34" s="9">
        <v>97</v>
      </c>
    </row>
    <row r="35" spans="1:7" ht="18.25" customHeight="1">
      <c r="A35" s="7">
        <v>43498</v>
      </c>
      <c r="B35" s="8">
        <f t="shared" si="0"/>
        <v>7</v>
      </c>
      <c r="C35" s="9">
        <v>6</v>
      </c>
      <c r="D35" s="9">
        <v>12.6</v>
      </c>
      <c r="E35" s="9">
        <v>-0.9</v>
      </c>
      <c r="F35" s="9">
        <v>0</v>
      </c>
      <c r="G35" s="9">
        <v>149</v>
      </c>
    </row>
    <row r="36" spans="1:7" ht="18.25" customHeight="1">
      <c r="A36" s="7">
        <v>43499</v>
      </c>
      <c r="B36" s="8">
        <f t="shared" si="0"/>
        <v>1</v>
      </c>
      <c r="C36" s="9">
        <v>8.5</v>
      </c>
      <c r="D36" s="9">
        <v>13.4</v>
      </c>
      <c r="E36" s="9">
        <v>3</v>
      </c>
      <c r="F36" s="9">
        <v>0</v>
      </c>
      <c r="G36" s="9">
        <v>176</v>
      </c>
    </row>
    <row r="37" spans="1:7" ht="18.25" customHeight="1">
      <c r="A37" s="7">
        <v>43500</v>
      </c>
      <c r="B37" s="8">
        <f t="shared" si="0"/>
        <v>2</v>
      </c>
      <c r="C37" s="9">
        <v>13.2</v>
      </c>
      <c r="D37" s="9">
        <v>19.399999999999999</v>
      </c>
      <c r="E37" s="9">
        <v>6.7</v>
      </c>
      <c r="F37" s="9">
        <v>0</v>
      </c>
      <c r="G37" s="9">
        <v>114</v>
      </c>
    </row>
    <row r="38" spans="1:7" ht="18.25" customHeight="1">
      <c r="A38" s="7">
        <v>43501</v>
      </c>
      <c r="B38" s="8">
        <f t="shared" si="0"/>
        <v>3</v>
      </c>
      <c r="C38" s="9">
        <v>6.7</v>
      </c>
      <c r="D38" s="9">
        <v>8.8000000000000007</v>
      </c>
      <c r="E38" s="9">
        <v>5.3</v>
      </c>
      <c r="F38" s="9">
        <v>0</v>
      </c>
      <c r="G38" s="9">
        <v>122</v>
      </c>
    </row>
    <row r="39" spans="1:7" ht="18.25" customHeight="1">
      <c r="A39" s="7">
        <v>43502</v>
      </c>
      <c r="B39" s="8">
        <f t="shared" si="0"/>
        <v>4</v>
      </c>
      <c r="C39" s="9">
        <v>5.7</v>
      </c>
      <c r="D39" s="9">
        <v>7.7</v>
      </c>
      <c r="E39" s="9">
        <v>3.9</v>
      </c>
      <c r="F39" s="9">
        <v>15</v>
      </c>
      <c r="G39" s="9">
        <v>119</v>
      </c>
    </row>
    <row r="40" spans="1:7" ht="18.25" customHeight="1">
      <c r="A40" s="7">
        <v>43503</v>
      </c>
      <c r="B40" s="8">
        <f t="shared" si="0"/>
        <v>5</v>
      </c>
      <c r="C40" s="9">
        <v>9.6</v>
      </c>
      <c r="D40" s="9">
        <v>16.5</v>
      </c>
      <c r="E40" s="9">
        <v>3.9</v>
      </c>
      <c r="F40" s="9">
        <v>0</v>
      </c>
      <c r="G40" s="9">
        <v>123</v>
      </c>
    </row>
    <row r="41" spans="1:7" ht="18.25" customHeight="1">
      <c r="A41" s="7">
        <v>43504</v>
      </c>
      <c r="B41" s="8">
        <f t="shared" si="0"/>
        <v>6</v>
      </c>
      <c r="C41" s="9">
        <v>6.1</v>
      </c>
      <c r="D41" s="9">
        <v>10.6</v>
      </c>
      <c r="E41" s="9">
        <v>3.3</v>
      </c>
      <c r="F41" s="9">
        <v>0</v>
      </c>
      <c r="G41" s="9">
        <v>110</v>
      </c>
    </row>
    <row r="42" spans="1:7" ht="18.25" customHeight="1">
      <c r="A42" s="7">
        <v>43505</v>
      </c>
      <c r="B42" s="8">
        <f t="shared" si="0"/>
        <v>7</v>
      </c>
      <c r="C42" s="9">
        <v>0.8</v>
      </c>
      <c r="D42" s="9">
        <v>3.5</v>
      </c>
      <c r="E42" s="9">
        <v>-0.5</v>
      </c>
      <c r="F42" s="9">
        <v>2</v>
      </c>
      <c r="G42" s="9">
        <v>125</v>
      </c>
    </row>
    <row r="43" spans="1:7" ht="18.25" customHeight="1">
      <c r="A43" s="7">
        <v>43506</v>
      </c>
      <c r="B43" s="8">
        <f t="shared" si="0"/>
        <v>1</v>
      </c>
      <c r="C43" s="9">
        <v>3.5</v>
      </c>
      <c r="D43" s="9">
        <v>7.9</v>
      </c>
      <c r="E43" s="9">
        <v>-1.2</v>
      </c>
      <c r="F43" s="9">
        <v>0</v>
      </c>
      <c r="G43" s="9">
        <v>162</v>
      </c>
    </row>
    <row r="44" spans="1:7" ht="18.25" customHeight="1">
      <c r="A44" s="7">
        <v>43507</v>
      </c>
      <c r="B44" s="8">
        <f t="shared" si="0"/>
        <v>2</v>
      </c>
      <c r="C44" s="9">
        <v>3</v>
      </c>
      <c r="D44" s="9">
        <v>4.5999999999999996</v>
      </c>
      <c r="E44" s="9">
        <v>0.4</v>
      </c>
      <c r="F44" s="9">
        <v>0</v>
      </c>
      <c r="G44" s="9">
        <v>81</v>
      </c>
    </row>
    <row r="45" spans="1:7" ht="18.25" customHeight="1">
      <c r="A45" s="7">
        <v>43508</v>
      </c>
      <c r="B45" s="8">
        <f t="shared" si="0"/>
        <v>3</v>
      </c>
      <c r="C45" s="9">
        <v>6.2</v>
      </c>
      <c r="D45" s="9">
        <v>11.1</v>
      </c>
      <c r="E45" s="9">
        <v>0.9</v>
      </c>
      <c r="F45" s="9">
        <v>0</v>
      </c>
      <c r="G45" s="9">
        <v>101</v>
      </c>
    </row>
    <row r="46" spans="1:7" ht="18.25" customHeight="1">
      <c r="A46" s="7">
        <v>43509</v>
      </c>
      <c r="B46" s="8">
        <f t="shared" si="0"/>
        <v>4</v>
      </c>
      <c r="C46" s="9">
        <v>5.2</v>
      </c>
      <c r="D46" s="9">
        <v>8.6</v>
      </c>
      <c r="E46" s="9">
        <v>3.3</v>
      </c>
      <c r="F46" s="9">
        <v>0</v>
      </c>
      <c r="G46" s="9">
        <v>124</v>
      </c>
    </row>
    <row r="47" spans="1:7" ht="18.25" customHeight="1">
      <c r="A47" s="7">
        <v>43510</v>
      </c>
      <c r="B47" s="8">
        <f t="shared" si="0"/>
        <v>5</v>
      </c>
      <c r="C47" s="9">
        <v>4.5</v>
      </c>
      <c r="D47" s="9">
        <v>8.5</v>
      </c>
      <c r="E47" s="9">
        <v>1.8</v>
      </c>
      <c r="F47" s="9">
        <v>0</v>
      </c>
      <c r="G47" s="9">
        <v>97</v>
      </c>
    </row>
    <row r="48" spans="1:7" ht="18.25" customHeight="1">
      <c r="A48" s="7">
        <v>43511</v>
      </c>
      <c r="B48" s="8">
        <f t="shared" si="0"/>
        <v>6</v>
      </c>
      <c r="C48" s="9">
        <v>3</v>
      </c>
      <c r="D48" s="9">
        <v>5.3</v>
      </c>
      <c r="E48" s="9">
        <v>0</v>
      </c>
      <c r="F48" s="9">
        <v>0</v>
      </c>
      <c r="G48" s="9">
        <v>98</v>
      </c>
    </row>
    <row r="49" spans="1:7" ht="18.25" customHeight="1">
      <c r="A49" s="7">
        <v>43512</v>
      </c>
      <c r="B49" s="8">
        <f t="shared" si="0"/>
        <v>7</v>
      </c>
      <c r="C49" s="9">
        <v>6.8</v>
      </c>
      <c r="D49" s="9">
        <v>13.9</v>
      </c>
      <c r="E49" s="9">
        <v>2</v>
      </c>
      <c r="F49" s="9">
        <v>0</v>
      </c>
      <c r="G49" s="9">
        <v>166</v>
      </c>
    </row>
    <row r="50" spans="1:7" ht="18.25" customHeight="1">
      <c r="A50" s="7">
        <v>43513</v>
      </c>
      <c r="B50" s="8">
        <f t="shared" si="0"/>
        <v>1</v>
      </c>
      <c r="C50" s="9">
        <v>6.4</v>
      </c>
      <c r="D50" s="9">
        <v>11.8</v>
      </c>
      <c r="E50" s="9">
        <v>3.4</v>
      </c>
      <c r="F50" s="9">
        <v>0</v>
      </c>
      <c r="G50" s="9">
        <v>186</v>
      </c>
    </row>
    <row r="51" spans="1:7" ht="18.25" customHeight="1">
      <c r="A51" s="7">
        <v>43514</v>
      </c>
      <c r="B51" s="8">
        <f t="shared" si="0"/>
        <v>2</v>
      </c>
      <c r="C51" s="9">
        <v>8.1999999999999993</v>
      </c>
      <c r="D51" s="9">
        <v>14.6</v>
      </c>
      <c r="E51" s="9">
        <v>2</v>
      </c>
      <c r="F51" s="9">
        <v>0</v>
      </c>
      <c r="G51" s="9">
        <v>90</v>
      </c>
    </row>
    <row r="52" spans="1:7" ht="18.25" customHeight="1">
      <c r="A52" s="7">
        <v>43515</v>
      </c>
      <c r="B52" s="8">
        <f t="shared" si="0"/>
        <v>3</v>
      </c>
      <c r="C52" s="9">
        <v>9.1</v>
      </c>
      <c r="D52" s="9">
        <v>12.8</v>
      </c>
      <c r="E52" s="9">
        <v>6.1</v>
      </c>
      <c r="F52" s="9">
        <v>1.5</v>
      </c>
      <c r="G52" s="9">
        <v>127</v>
      </c>
    </row>
    <row r="53" spans="1:7" ht="18.25" customHeight="1">
      <c r="A53" s="7">
        <v>43516</v>
      </c>
      <c r="B53" s="8">
        <f t="shared" si="0"/>
        <v>4</v>
      </c>
      <c r="C53" s="9">
        <v>11.6</v>
      </c>
      <c r="D53" s="9">
        <v>19.5</v>
      </c>
      <c r="E53" s="9">
        <v>5.4</v>
      </c>
      <c r="F53" s="9">
        <v>0.5</v>
      </c>
      <c r="G53" s="9">
        <v>165</v>
      </c>
    </row>
    <row r="54" spans="1:7" ht="18.25" customHeight="1">
      <c r="A54" s="7">
        <v>43517</v>
      </c>
      <c r="B54" s="8">
        <f t="shared" si="0"/>
        <v>5</v>
      </c>
      <c r="C54" s="9">
        <v>10.3</v>
      </c>
      <c r="D54" s="9">
        <v>14.8</v>
      </c>
      <c r="E54" s="9">
        <v>7.3</v>
      </c>
      <c r="F54" s="9">
        <v>0</v>
      </c>
      <c r="G54" s="9">
        <v>115</v>
      </c>
    </row>
    <row r="55" spans="1:7" ht="18.25" customHeight="1">
      <c r="A55" s="7">
        <v>43518</v>
      </c>
      <c r="B55" s="8">
        <f t="shared" si="0"/>
        <v>6</v>
      </c>
      <c r="C55" s="9">
        <v>9.3000000000000007</v>
      </c>
      <c r="D55" s="9">
        <v>13.7</v>
      </c>
      <c r="E55" s="9">
        <v>4.0999999999999996</v>
      </c>
      <c r="F55" s="9">
        <v>0</v>
      </c>
      <c r="G55" s="9">
        <v>125</v>
      </c>
    </row>
    <row r="56" spans="1:7" ht="18.25" customHeight="1">
      <c r="A56" s="7">
        <v>43519</v>
      </c>
      <c r="B56" s="8">
        <f t="shared" si="0"/>
        <v>7</v>
      </c>
      <c r="C56" s="9">
        <v>8.9</v>
      </c>
      <c r="D56" s="9">
        <v>14.7</v>
      </c>
      <c r="E56" s="9">
        <v>5.6</v>
      </c>
      <c r="F56" s="9">
        <v>0</v>
      </c>
      <c r="G56" s="9">
        <v>173</v>
      </c>
    </row>
    <row r="57" spans="1:7" ht="18.25" customHeight="1">
      <c r="A57" s="7">
        <v>43520</v>
      </c>
      <c r="B57" s="8">
        <f t="shared" si="0"/>
        <v>1</v>
      </c>
      <c r="C57" s="9">
        <v>8.8000000000000007</v>
      </c>
      <c r="D57" s="9">
        <v>13.6</v>
      </c>
      <c r="E57" s="9">
        <v>2.2999999999999998</v>
      </c>
      <c r="F57" s="9">
        <v>0</v>
      </c>
      <c r="G57" s="9">
        <v>182</v>
      </c>
    </row>
    <row r="58" spans="1:7" ht="18.25" customHeight="1">
      <c r="A58" s="7">
        <v>43521</v>
      </c>
      <c r="B58" s="8">
        <f t="shared" si="0"/>
        <v>2</v>
      </c>
      <c r="C58" s="9">
        <v>11.3</v>
      </c>
      <c r="D58" s="9">
        <v>17.100000000000001</v>
      </c>
      <c r="E58" s="9">
        <v>6.6</v>
      </c>
      <c r="F58" s="9">
        <v>0</v>
      </c>
      <c r="G58" s="9">
        <v>109</v>
      </c>
    </row>
    <row r="59" spans="1:7" ht="18.25" customHeight="1">
      <c r="A59" s="7">
        <v>43522</v>
      </c>
      <c r="B59" s="8">
        <f t="shared" si="0"/>
        <v>3</v>
      </c>
      <c r="C59" s="9">
        <v>10.199999999999999</v>
      </c>
      <c r="D59" s="9">
        <v>12.5</v>
      </c>
      <c r="E59" s="9">
        <v>7.8</v>
      </c>
      <c r="F59" s="9">
        <v>0</v>
      </c>
      <c r="G59" s="9">
        <v>116</v>
      </c>
    </row>
    <row r="60" spans="1:7" ht="18.25" customHeight="1">
      <c r="A60" s="7">
        <v>43523</v>
      </c>
      <c r="B60" s="8">
        <f t="shared" si="0"/>
        <v>4</v>
      </c>
      <c r="C60" s="9">
        <v>7.7</v>
      </c>
      <c r="D60" s="9">
        <v>10.6</v>
      </c>
      <c r="E60" s="9">
        <v>4</v>
      </c>
      <c r="F60" s="9">
        <v>0.5</v>
      </c>
      <c r="G60" s="9">
        <v>143</v>
      </c>
    </row>
    <row r="61" spans="1:7" ht="18.25" customHeight="1">
      <c r="A61" s="7">
        <v>43524</v>
      </c>
      <c r="B61" s="8">
        <f t="shared" si="0"/>
        <v>5</v>
      </c>
      <c r="C61" s="9">
        <v>6.6</v>
      </c>
      <c r="D61" s="9">
        <v>7.6</v>
      </c>
      <c r="E61" s="9">
        <v>5.0999999999999996</v>
      </c>
      <c r="F61" s="9">
        <v>22.5</v>
      </c>
      <c r="G61" s="9">
        <v>86</v>
      </c>
    </row>
    <row r="62" spans="1:7" ht="18.25" customHeight="1">
      <c r="A62" s="7">
        <v>43525</v>
      </c>
      <c r="B62" s="8">
        <f t="shared" si="0"/>
        <v>6</v>
      </c>
      <c r="C62" s="9">
        <v>8.8000000000000007</v>
      </c>
      <c r="D62" s="9">
        <v>13.1</v>
      </c>
      <c r="E62" s="9">
        <v>6.5</v>
      </c>
      <c r="F62" s="9">
        <v>1.5</v>
      </c>
      <c r="G62" s="9">
        <v>110</v>
      </c>
    </row>
    <row r="63" spans="1:7" ht="18.25" customHeight="1">
      <c r="A63" s="7">
        <v>43526</v>
      </c>
      <c r="B63" s="8">
        <f t="shared" si="0"/>
        <v>7</v>
      </c>
      <c r="C63" s="9">
        <v>10.3</v>
      </c>
      <c r="D63" s="9">
        <v>14.7</v>
      </c>
      <c r="E63" s="9">
        <v>6.4</v>
      </c>
      <c r="F63" s="9">
        <v>0</v>
      </c>
      <c r="G63" s="9">
        <v>166</v>
      </c>
    </row>
    <row r="64" spans="1:7" ht="18.25" customHeight="1">
      <c r="A64" s="7">
        <v>43527</v>
      </c>
      <c r="B64" s="8">
        <f t="shared" si="0"/>
        <v>1</v>
      </c>
      <c r="C64" s="9">
        <v>6.5</v>
      </c>
      <c r="D64" s="9">
        <v>10.4</v>
      </c>
      <c r="E64" s="9">
        <v>4.4000000000000004</v>
      </c>
      <c r="F64" s="9">
        <v>13.5</v>
      </c>
      <c r="G64" s="9">
        <v>158</v>
      </c>
    </row>
    <row r="65" spans="1:7" ht="18.25" customHeight="1">
      <c r="A65" s="7">
        <v>43528</v>
      </c>
      <c r="B65" s="8">
        <f t="shared" si="0"/>
        <v>2</v>
      </c>
      <c r="C65" s="9">
        <v>7.3</v>
      </c>
      <c r="D65" s="9">
        <v>9.5</v>
      </c>
      <c r="E65" s="9">
        <v>5.4</v>
      </c>
      <c r="F65" s="9">
        <v>27.5</v>
      </c>
      <c r="G65" s="9">
        <v>58</v>
      </c>
    </row>
    <row r="66" spans="1:7" ht="18.25" customHeight="1">
      <c r="A66" s="7">
        <v>43529</v>
      </c>
      <c r="B66" s="8">
        <f t="shared" si="0"/>
        <v>3</v>
      </c>
      <c r="C66" s="9">
        <v>9.6</v>
      </c>
      <c r="D66" s="9">
        <v>15.8</v>
      </c>
      <c r="E66" s="9">
        <v>4.3</v>
      </c>
      <c r="F66" s="9">
        <v>0.5</v>
      </c>
      <c r="G66" s="9">
        <v>134</v>
      </c>
    </row>
    <row r="67" spans="1:7" ht="18.25" customHeight="1">
      <c r="A67" s="7">
        <v>43530</v>
      </c>
      <c r="B67" s="8">
        <f t="shared" ref="B67:B130" si="1">WEEKDAY($A67)</f>
        <v>4</v>
      </c>
      <c r="C67" s="9">
        <v>10.8</v>
      </c>
      <c r="D67" s="9">
        <v>14.2</v>
      </c>
      <c r="E67" s="9">
        <v>8</v>
      </c>
      <c r="F67" s="9">
        <v>3</v>
      </c>
      <c r="G67" s="9">
        <v>150</v>
      </c>
    </row>
    <row r="68" spans="1:7" ht="18.25" customHeight="1">
      <c r="A68" s="7">
        <v>43531</v>
      </c>
      <c r="B68" s="8">
        <f t="shared" si="1"/>
        <v>5</v>
      </c>
      <c r="C68" s="9">
        <v>8.1999999999999993</v>
      </c>
      <c r="D68" s="9">
        <v>10.3</v>
      </c>
      <c r="E68" s="9">
        <v>4.3</v>
      </c>
      <c r="F68" s="9">
        <v>28</v>
      </c>
      <c r="G68" s="9">
        <v>86</v>
      </c>
    </row>
    <row r="69" spans="1:7" ht="18.25" customHeight="1">
      <c r="A69" s="7">
        <v>43532</v>
      </c>
      <c r="B69" s="8">
        <f t="shared" si="1"/>
        <v>6</v>
      </c>
      <c r="C69" s="9">
        <v>7.3</v>
      </c>
      <c r="D69" s="9">
        <v>12.5</v>
      </c>
      <c r="E69" s="9">
        <v>3.9</v>
      </c>
      <c r="F69" s="9">
        <v>0</v>
      </c>
      <c r="G69" s="9">
        <v>126</v>
      </c>
    </row>
    <row r="70" spans="1:7" ht="18.25" customHeight="1">
      <c r="A70" s="7">
        <v>43533</v>
      </c>
      <c r="B70" s="8">
        <f t="shared" si="1"/>
        <v>7</v>
      </c>
      <c r="C70" s="9">
        <v>10</v>
      </c>
      <c r="D70" s="9">
        <v>16.899999999999999</v>
      </c>
      <c r="E70" s="9">
        <v>2.2999999999999998</v>
      </c>
      <c r="F70" s="9">
        <v>0</v>
      </c>
      <c r="G70" s="9">
        <v>154</v>
      </c>
    </row>
    <row r="71" spans="1:7" ht="18.25" customHeight="1">
      <c r="A71" s="7">
        <v>43534</v>
      </c>
      <c r="B71" s="8">
        <f t="shared" si="1"/>
        <v>1</v>
      </c>
      <c r="C71" s="9">
        <v>12.5</v>
      </c>
      <c r="D71" s="9">
        <v>16.399999999999999</v>
      </c>
      <c r="E71" s="9">
        <v>6.9</v>
      </c>
      <c r="F71" s="9">
        <v>6.5</v>
      </c>
      <c r="G71" s="9">
        <v>207</v>
      </c>
    </row>
    <row r="72" spans="1:7" ht="18.25" customHeight="1">
      <c r="A72" s="7">
        <v>43535</v>
      </c>
      <c r="B72" s="8">
        <f t="shared" si="1"/>
        <v>2</v>
      </c>
      <c r="C72" s="9">
        <v>12.3</v>
      </c>
      <c r="D72" s="9">
        <v>17.8</v>
      </c>
      <c r="E72" s="9">
        <v>9.4</v>
      </c>
      <c r="F72" s="9">
        <v>32</v>
      </c>
      <c r="G72" s="9">
        <v>79</v>
      </c>
    </row>
    <row r="73" spans="1:7" ht="18.25" customHeight="1">
      <c r="A73" s="7">
        <v>43536</v>
      </c>
      <c r="B73" s="8">
        <f t="shared" si="1"/>
        <v>3</v>
      </c>
      <c r="C73" s="9">
        <v>12.4</v>
      </c>
      <c r="D73" s="9">
        <v>17.100000000000001</v>
      </c>
      <c r="E73" s="9">
        <v>8.3000000000000007</v>
      </c>
      <c r="F73" s="9">
        <v>0</v>
      </c>
      <c r="G73" s="9">
        <v>132</v>
      </c>
    </row>
    <row r="74" spans="1:7" ht="18.25" customHeight="1">
      <c r="A74" s="7">
        <v>43537</v>
      </c>
      <c r="B74" s="8">
        <f t="shared" si="1"/>
        <v>4</v>
      </c>
      <c r="C74" s="9">
        <v>11.7</v>
      </c>
      <c r="D74" s="9">
        <v>19.100000000000001</v>
      </c>
      <c r="E74" s="9">
        <v>5.6</v>
      </c>
      <c r="F74" s="9">
        <v>0</v>
      </c>
      <c r="G74" s="9">
        <v>140</v>
      </c>
    </row>
    <row r="75" spans="1:7" ht="18.25" customHeight="1">
      <c r="A75" s="7">
        <v>43538</v>
      </c>
      <c r="B75" s="8">
        <f t="shared" si="1"/>
        <v>5</v>
      </c>
      <c r="C75" s="9">
        <v>8.4</v>
      </c>
      <c r="D75" s="9">
        <v>14.3</v>
      </c>
      <c r="E75" s="9">
        <v>3.3</v>
      </c>
      <c r="F75" s="9">
        <v>0</v>
      </c>
      <c r="G75" s="9">
        <v>109</v>
      </c>
    </row>
    <row r="76" spans="1:7" ht="18.25" customHeight="1">
      <c r="A76" s="7">
        <v>43539</v>
      </c>
      <c r="B76" s="8">
        <f t="shared" si="1"/>
        <v>6</v>
      </c>
      <c r="C76" s="9">
        <v>9.6999999999999993</v>
      </c>
      <c r="D76" s="9">
        <v>15</v>
      </c>
      <c r="E76" s="9">
        <v>4.0999999999999996</v>
      </c>
      <c r="F76" s="9">
        <v>0</v>
      </c>
      <c r="G76" s="9">
        <v>120</v>
      </c>
    </row>
    <row r="77" spans="1:7" ht="18.25" customHeight="1">
      <c r="A77" s="7">
        <v>43540</v>
      </c>
      <c r="B77" s="8">
        <f t="shared" si="1"/>
        <v>7</v>
      </c>
      <c r="C77" s="9">
        <v>8.9</v>
      </c>
      <c r="D77" s="9">
        <v>13.9</v>
      </c>
      <c r="E77" s="9">
        <v>6.4</v>
      </c>
      <c r="F77" s="9">
        <v>0</v>
      </c>
      <c r="G77" s="9">
        <v>164</v>
      </c>
    </row>
    <row r="78" spans="1:7" ht="18.25" customHeight="1">
      <c r="A78" s="7">
        <v>43541</v>
      </c>
      <c r="B78" s="8">
        <f t="shared" si="1"/>
        <v>1</v>
      </c>
      <c r="C78" s="9">
        <v>9.1</v>
      </c>
      <c r="D78" s="9">
        <v>15.3</v>
      </c>
      <c r="E78" s="9">
        <v>3.5</v>
      </c>
      <c r="F78" s="9">
        <v>0</v>
      </c>
      <c r="G78" s="9">
        <v>222</v>
      </c>
    </row>
    <row r="79" spans="1:7" ht="18.25" customHeight="1">
      <c r="A79" s="7">
        <v>43542</v>
      </c>
      <c r="B79" s="8">
        <f t="shared" si="1"/>
        <v>2</v>
      </c>
      <c r="C79" s="9">
        <v>9.6999999999999993</v>
      </c>
      <c r="D79" s="9">
        <v>14.5</v>
      </c>
      <c r="E79" s="9">
        <v>4.0999999999999996</v>
      </c>
      <c r="F79" s="9">
        <v>0</v>
      </c>
      <c r="G79" s="9">
        <v>100</v>
      </c>
    </row>
    <row r="80" spans="1:7" ht="18.25" customHeight="1">
      <c r="A80" s="7">
        <v>43543</v>
      </c>
      <c r="B80" s="8">
        <f t="shared" si="1"/>
        <v>3</v>
      </c>
      <c r="C80" s="9">
        <v>13.2</v>
      </c>
      <c r="D80" s="9">
        <v>19.2</v>
      </c>
      <c r="E80" s="9">
        <v>6.3</v>
      </c>
      <c r="F80" s="9">
        <v>0</v>
      </c>
      <c r="G80" s="9">
        <v>134</v>
      </c>
    </row>
    <row r="81" spans="1:7" ht="18.25" customHeight="1">
      <c r="A81" s="7">
        <v>43544</v>
      </c>
      <c r="B81" s="8">
        <f t="shared" si="1"/>
        <v>4</v>
      </c>
      <c r="C81" s="9">
        <v>15</v>
      </c>
      <c r="D81" s="9">
        <v>21.5</v>
      </c>
      <c r="E81" s="9">
        <v>8.5</v>
      </c>
      <c r="F81" s="9">
        <v>0</v>
      </c>
      <c r="G81" s="9">
        <v>158</v>
      </c>
    </row>
    <row r="82" spans="1:7" ht="18.25" customHeight="1">
      <c r="A82" s="7">
        <v>43545</v>
      </c>
      <c r="B82" s="8">
        <f t="shared" si="1"/>
        <v>5</v>
      </c>
      <c r="C82" s="9">
        <v>17.7</v>
      </c>
      <c r="D82" s="9">
        <v>22.3</v>
      </c>
      <c r="E82" s="9">
        <v>13.9</v>
      </c>
      <c r="F82" s="9">
        <v>0</v>
      </c>
      <c r="G82" s="9">
        <v>140</v>
      </c>
    </row>
    <row r="83" spans="1:7" ht="18.25" customHeight="1">
      <c r="A83" s="7">
        <v>43546</v>
      </c>
      <c r="B83" s="8">
        <f t="shared" si="1"/>
        <v>6</v>
      </c>
      <c r="C83" s="9">
        <v>16.2</v>
      </c>
      <c r="D83" s="9">
        <v>23.9</v>
      </c>
      <c r="E83" s="9">
        <v>8.6999999999999993</v>
      </c>
      <c r="F83" s="9">
        <v>0</v>
      </c>
      <c r="G83" s="9">
        <v>136</v>
      </c>
    </row>
    <row r="84" spans="1:7" ht="18.25" customHeight="1">
      <c r="A84" s="7">
        <v>43547</v>
      </c>
      <c r="B84" s="8">
        <f t="shared" si="1"/>
        <v>7</v>
      </c>
      <c r="C84" s="9">
        <v>7.1</v>
      </c>
      <c r="D84" s="9">
        <v>9</v>
      </c>
      <c r="E84" s="9">
        <v>4.4000000000000004</v>
      </c>
      <c r="F84" s="9">
        <v>0</v>
      </c>
      <c r="G84" s="9">
        <v>156</v>
      </c>
    </row>
    <row r="85" spans="1:7" ht="18.25" customHeight="1">
      <c r="A85" s="7">
        <v>43548</v>
      </c>
      <c r="B85" s="8">
        <f t="shared" si="1"/>
        <v>1</v>
      </c>
      <c r="C85" s="9">
        <v>8.1999999999999993</v>
      </c>
      <c r="D85" s="9">
        <v>15.4</v>
      </c>
      <c r="E85" s="9">
        <v>1.1000000000000001</v>
      </c>
      <c r="F85" s="9">
        <v>0</v>
      </c>
      <c r="G85" s="9">
        <v>218</v>
      </c>
    </row>
    <row r="86" spans="1:7" ht="18.25" customHeight="1">
      <c r="A86" s="7">
        <v>43549</v>
      </c>
      <c r="B86" s="8">
        <f t="shared" si="1"/>
        <v>2</v>
      </c>
      <c r="C86" s="9">
        <v>9.9</v>
      </c>
      <c r="D86" s="9">
        <v>15</v>
      </c>
      <c r="E86" s="9">
        <v>3.9</v>
      </c>
      <c r="F86" s="9">
        <v>0</v>
      </c>
      <c r="G86" s="9">
        <v>91</v>
      </c>
    </row>
    <row r="87" spans="1:7" ht="18.25" customHeight="1">
      <c r="A87" s="7">
        <v>43550</v>
      </c>
      <c r="B87" s="8">
        <f t="shared" si="1"/>
        <v>3</v>
      </c>
      <c r="C87" s="9">
        <v>11.9</v>
      </c>
      <c r="D87" s="9">
        <v>15.9</v>
      </c>
      <c r="E87" s="9">
        <v>9.6999999999999993</v>
      </c>
      <c r="F87" s="9">
        <v>0</v>
      </c>
      <c r="G87" s="9">
        <v>126</v>
      </c>
    </row>
    <row r="88" spans="1:7" ht="18.25" customHeight="1">
      <c r="A88" s="7">
        <v>43551</v>
      </c>
      <c r="B88" s="8">
        <f t="shared" si="1"/>
        <v>4</v>
      </c>
      <c r="C88" s="9">
        <v>14.2</v>
      </c>
      <c r="D88" s="9">
        <v>19.7</v>
      </c>
      <c r="E88" s="9">
        <v>7.3</v>
      </c>
      <c r="F88" s="9">
        <v>0</v>
      </c>
      <c r="G88" s="9">
        <v>162</v>
      </c>
    </row>
    <row r="89" spans="1:7" ht="18.25" customHeight="1">
      <c r="A89" s="7">
        <v>43552</v>
      </c>
      <c r="B89" s="8">
        <f t="shared" si="1"/>
        <v>5</v>
      </c>
      <c r="C89" s="9">
        <v>13.6</v>
      </c>
      <c r="D89" s="9">
        <v>16.899999999999999</v>
      </c>
      <c r="E89" s="9">
        <v>9</v>
      </c>
      <c r="F89" s="9">
        <v>0</v>
      </c>
      <c r="G89" s="9">
        <v>137</v>
      </c>
    </row>
    <row r="90" spans="1:7" ht="18.25" customHeight="1">
      <c r="A90" s="7">
        <v>43553</v>
      </c>
      <c r="B90" s="8">
        <f t="shared" si="1"/>
        <v>6</v>
      </c>
      <c r="C90" s="9">
        <v>7.7</v>
      </c>
      <c r="D90" s="9">
        <v>9.3000000000000007</v>
      </c>
      <c r="E90" s="9">
        <v>6.8</v>
      </c>
      <c r="F90" s="9">
        <v>0</v>
      </c>
      <c r="G90" s="9">
        <v>105</v>
      </c>
    </row>
    <row r="91" spans="1:7" ht="18.25" customHeight="1">
      <c r="A91" s="7">
        <v>43554</v>
      </c>
      <c r="B91" s="8">
        <f t="shared" si="1"/>
        <v>7</v>
      </c>
      <c r="C91" s="9">
        <v>8.6999999999999993</v>
      </c>
      <c r="D91" s="9">
        <v>11.7</v>
      </c>
      <c r="E91" s="9">
        <v>7.2</v>
      </c>
      <c r="F91" s="9">
        <v>3.5</v>
      </c>
      <c r="G91" s="9">
        <v>171</v>
      </c>
    </row>
    <row r="92" spans="1:7" ht="18.25" customHeight="1">
      <c r="A92" s="7">
        <v>43555</v>
      </c>
      <c r="B92" s="8">
        <f t="shared" si="1"/>
        <v>1</v>
      </c>
      <c r="C92" s="9">
        <v>10.5</v>
      </c>
      <c r="D92" s="9">
        <v>16.3</v>
      </c>
      <c r="E92" s="9">
        <v>7.3</v>
      </c>
      <c r="F92" s="9">
        <v>1.5</v>
      </c>
      <c r="G92" s="9">
        <v>220</v>
      </c>
    </row>
    <row r="93" spans="1:7" ht="18.25" customHeight="1">
      <c r="A93" s="7">
        <v>43556</v>
      </c>
      <c r="B93" s="8">
        <f t="shared" si="1"/>
        <v>2</v>
      </c>
      <c r="C93" s="9">
        <v>8.8000000000000007</v>
      </c>
      <c r="D93" s="9">
        <v>16.2</v>
      </c>
      <c r="E93" s="9">
        <v>4.2</v>
      </c>
      <c r="F93" s="9">
        <v>5.5</v>
      </c>
      <c r="G93" s="9">
        <v>89</v>
      </c>
    </row>
    <row r="94" spans="1:7" ht="18.25" customHeight="1">
      <c r="A94" s="7">
        <v>43557</v>
      </c>
      <c r="B94" s="8">
        <f t="shared" si="1"/>
        <v>3</v>
      </c>
      <c r="C94" s="9">
        <v>7.2</v>
      </c>
      <c r="D94" s="9">
        <v>13.1</v>
      </c>
      <c r="E94" s="9">
        <v>2.2999999999999998</v>
      </c>
      <c r="F94" s="9">
        <v>0</v>
      </c>
      <c r="G94" s="9">
        <v>126</v>
      </c>
    </row>
    <row r="95" spans="1:7" ht="18.25" customHeight="1">
      <c r="A95" s="7">
        <v>43558</v>
      </c>
      <c r="B95" s="8">
        <f t="shared" si="1"/>
        <v>4</v>
      </c>
      <c r="C95" s="9">
        <v>8.1</v>
      </c>
      <c r="D95" s="9">
        <v>14.1</v>
      </c>
      <c r="E95" s="9">
        <v>2.7</v>
      </c>
      <c r="F95" s="9">
        <v>0</v>
      </c>
      <c r="G95" s="9">
        <v>149</v>
      </c>
    </row>
    <row r="96" spans="1:7" ht="18.25" customHeight="1">
      <c r="A96" s="7">
        <v>43559</v>
      </c>
      <c r="B96" s="8">
        <f t="shared" si="1"/>
        <v>5</v>
      </c>
      <c r="C96" s="9">
        <v>10.6</v>
      </c>
      <c r="D96" s="9">
        <v>16.7</v>
      </c>
      <c r="E96" s="9">
        <v>3.4</v>
      </c>
      <c r="F96" s="9">
        <v>0</v>
      </c>
      <c r="G96" s="9">
        <v>127</v>
      </c>
    </row>
    <row r="97" spans="1:7" ht="18.25" customHeight="1">
      <c r="A97" s="7">
        <v>43560</v>
      </c>
      <c r="B97" s="8">
        <f t="shared" si="1"/>
        <v>6</v>
      </c>
      <c r="C97" s="9">
        <v>15.4</v>
      </c>
      <c r="D97" s="9">
        <v>22.5</v>
      </c>
      <c r="E97" s="9">
        <v>6.7</v>
      </c>
      <c r="F97" s="9">
        <v>0</v>
      </c>
      <c r="G97" s="9">
        <v>130</v>
      </c>
    </row>
    <row r="98" spans="1:7" ht="18.25" customHeight="1">
      <c r="A98" s="7">
        <v>43561</v>
      </c>
      <c r="B98" s="8">
        <f t="shared" si="1"/>
        <v>7</v>
      </c>
      <c r="C98" s="9">
        <v>15.9</v>
      </c>
      <c r="D98" s="9">
        <v>21.6</v>
      </c>
      <c r="E98" s="9">
        <v>11</v>
      </c>
      <c r="F98" s="9">
        <v>0</v>
      </c>
      <c r="G98" s="9">
        <v>173</v>
      </c>
    </row>
    <row r="99" spans="1:7" ht="18.25" customHeight="1">
      <c r="A99" s="7">
        <v>43562</v>
      </c>
      <c r="B99" s="8">
        <f t="shared" si="1"/>
        <v>1</v>
      </c>
      <c r="C99" s="9">
        <v>15.5</v>
      </c>
      <c r="D99" s="9">
        <v>21.6</v>
      </c>
      <c r="E99" s="9">
        <v>10.4</v>
      </c>
      <c r="F99" s="9">
        <v>0</v>
      </c>
      <c r="G99" s="9">
        <v>245</v>
      </c>
    </row>
    <row r="100" spans="1:7" ht="18.25" customHeight="1">
      <c r="A100" s="7">
        <v>43563</v>
      </c>
      <c r="B100" s="8">
        <f t="shared" si="1"/>
        <v>2</v>
      </c>
      <c r="C100" s="9">
        <v>9.3000000000000007</v>
      </c>
      <c r="D100" s="9">
        <v>14.8</v>
      </c>
      <c r="E100" s="9">
        <v>5.9</v>
      </c>
      <c r="F100" s="9">
        <v>11</v>
      </c>
      <c r="G100" s="9">
        <v>96</v>
      </c>
    </row>
    <row r="101" spans="1:7" ht="18.25" customHeight="1">
      <c r="A101" s="7">
        <v>43564</v>
      </c>
      <c r="B101" s="8">
        <f t="shared" si="1"/>
        <v>3</v>
      </c>
      <c r="C101" s="9">
        <v>10.3</v>
      </c>
      <c r="D101" s="9">
        <v>16.899999999999999</v>
      </c>
      <c r="E101" s="9">
        <v>4.3</v>
      </c>
      <c r="F101" s="9">
        <v>0</v>
      </c>
      <c r="G101" s="9">
        <v>117</v>
      </c>
    </row>
    <row r="102" spans="1:7" ht="18.25" customHeight="1">
      <c r="A102" s="7">
        <v>43565</v>
      </c>
      <c r="B102" s="8">
        <f t="shared" si="1"/>
        <v>4</v>
      </c>
      <c r="C102" s="9">
        <v>5.7</v>
      </c>
      <c r="D102" s="9">
        <v>10.199999999999999</v>
      </c>
      <c r="E102" s="9">
        <v>3.6</v>
      </c>
      <c r="F102" s="9">
        <v>29.5</v>
      </c>
      <c r="G102" s="9">
        <v>100</v>
      </c>
    </row>
    <row r="103" spans="1:7" ht="18.25" customHeight="1">
      <c r="A103" s="7">
        <v>43566</v>
      </c>
      <c r="B103" s="8">
        <f t="shared" si="1"/>
        <v>5</v>
      </c>
      <c r="C103" s="9">
        <v>10.4</v>
      </c>
      <c r="D103" s="9">
        <v>16.7</v>
      </c>
      <c r="E103" s="9">
        <v>4.4000000000000004</v>
      </c>
      <c r="F103" s="9">
        <v>1.5</v>
      </c>
      <c r="G103" s="9">
        <v>121</v>
      </c>
    </row>
    <row r="104" spans="1:7" ht="18.25" customHeight="1">
      <c r="A104" s="7">
        <v>43567</v>
      </c>
      <c r="B104" s="8">
        <f t="shared" si="1"/>
        <v>6</v>
      </c>
      <c r="C104" s="9">
        <v>9.6</v>
      </c>
      <c r="D104" s="9">
        <v>12.6</v>
      </c>
      <c r="E104" s="9">
        <v>7.5</v>
      </c>
      <c r="F104" s="9">
        <v>0</v>
      </c>
      <c r="G104" s="9">
        <v>119</v>
      </c>
    </row>
    <row r="105" spans="1:7" ht="18.25" customHeight="1">
      <c r="A105" s="7">
        <v>43568</v>
      </c>
      <c r="B105" s="8">
        <f t="shared" si="1"/>
        <v>7</v>
      </c>
      <c r="C105" s="9">
        <v>12.1</v>
      </c>
      <c r="D105" s="9">
        <v>18.2</v>
      </c>
      <c r="E105" s="9">
        <v>5.5</v>
      </c>
      <c r="F105" s="9">
        <v>0</v>
      </c>
      <c r="G105" s="9">
        <v>193</v>
      </c>
    </row>
    <row r="106" spans="1:7" ht="18.25" customHeight="1">
      <c r="A106" s="7">
        <v>43569</v>
      </c>
      <c r="B106" s="8">
        <f t="shared" si="1"/>
        <v>1</v>
      </c>
      <c r="C106" s="9">
        <v>14.7</v>
      </c>
      <c r="D106" s="9">
        <v>18.3</v>
      </c>
      <c r="E106" s="9">
        <v>9.6999999999999993</v>
      </c>
      <c r="F106" s="9">
        <v>0</v>
      </c>
      <c r="G106" s="9">
        <v>202</v>
      </c>
    </row>
    <row r="107" spans="1:7" ht="18.25" customHeight="1">
      <c r="A107" s="7">
        <v>43570</v>
      </c>
      <c r="B107" s="8">
        <f t="shared" si="1"/>
        <v>2</v>
      </c>
      <c r="C107" s="9">
        <v>16</v>
      </c>
      <c r="D107" s="9">
        <v>22.7</v>
      </c>
      <c r="E107" s="9">
        <v>11.6</v>
      </c>
      <c r="F107" s="9">
        <v>5</v>
      </c>
      <c r="G107" s="9">
        <v>114</v>
      </c>
    </row>
    <row r="108" spans="1:7" ht="18.25" customHeight="1">
      <c r="A108" s="7">
        <v>43571</v>
      </c>
      <c r="B108" s="8">
        <f t="shared" si="1"/>
        <v>3</v>
      </c>
      <c r="C108" s="9">
        <v>15.3</v>
      </c>
      <c r="D108" s="9">
        <v>21</v>
      </c>
      <c r="E108" s="9">
        <v>10.1</v>
      </c>
      <c r="F108" s="9">
        <v>0</v>
      </c>
      <c r="G108" s="9">
        <v>146</v>
      </c>
    </row>
    <row r="109" spans="1:7" ht="18.25" customHeight="1">
      <c r="A109" s="7">
        <v>43572</v>
      </c>
      <c r="B109" s="8">
        <f t="shared" si="1"/>
        <v>4</v>
      </c>
      <c r="C109" s="9">
        <v>15.5</v>
      </c>
      <c r="D109" s="9">
        <v>19.5</v>
      </c>
      <c r="E109" s="9">
        <v>11</v>
      </c>
      <c r="F109" s="9">
        <v>0</v>
      </c>
      <c r="G109" s="9">
        <v>165</v>
      </c>
    </row>
    <row r="110" spans="1:7" ht="18.25" customHeight="1">
      <c r="A110" s="7">
        <v>43573</v>
      </c>
      <c r="B110" s="8">
        <f t="shared" si="1"/>
        <v>5</v>
      </c>
      <c r="C110" s="9">
        <v>17.5</v>
      </c>
      <c r="D110" s="9">
        <v>23.5</v>
      </c>
      <c r="E110" s="9">
        <v>13.4</v>
      </c>
      <c r="F110" s="9">
        <v>0</v>
      </c>
      <c r="G110" s="9">
        <v>141</v>
      </c>
    </row>
    <row r="111" spans="1:7" ht="18.25" customHeight="1">
      <c r="A111" s="7">
        <v>43574</v>
      </c>
      <c r="B111" s="8">
        <f t="shared" si="1"/>
        <v>6</v>
      </c>
      <c r="C111" s="9">
        <v>18.3</v>
      </c>
      <c r="D111" s="9">
        <v>23.6</v>
      </c>
      <c r="E111" s="9">
        <v>14.3</v>
      </c>
      <c r="F111" s="9">
        <v>0</v>
      </c>
      <c r="G111" s="9">
        <v>161</v>
      </c>
    </row>
    <row r="112" spans="1:7" ht="18.25" customHeight="1">
      <c r="A112" s="7">
        <v>43575</v>
      </c>
      <c r="B112" s="8">
        <f t="shared" si="1"/>
        <v>7</v>
      </c>
      <c r="C112" s="9">
        <v>14.2</v>
      </c>
      <c r="D112" s="9">
        <v>19.100000000000001</v>
      </c>
      <c r="E112" s="9">
        <v>9.8000000000000007</v>
      </c>
      <c r="F112" s="9">
        <v>0</v>
      </c>
      <c r="G112" s="9">
        <v>202</v>
      </c>
    </row>
    <row r="113" spans="1:7" ht="18.25" customHeight="1">
      <c r="A113" s="7">
        <v>43576</v>
      </c>
      <c r="B113" s="8">
        <f t="shared" si="1"/>
        <v>1</v>
      </c>
      <c r="C113" s="9">
        <v>17.5</v>
      </c>
      <c r="D113" s="9">
        <v>23.1</v>
      </c>
      <c r="E113" s="9">
        <v>12.2</v>
      </c>
      <c r="F113" s="9">
        <v>0</v>
      </c>
      <c r="G113" s="9">
        <v>235</v>
      </c>
    </row>
    <row r="114" spans="1:7" ht="18.25" customHeight="1">
      <c r="A114" s="7">
        <v>43577</v>
      </c>
      <c r="B114" s="8">
        <f t="shared" si="1"/>
        <v>2</v>
      </c>
      <c r="C114" s="9">
        <v>19.2</v>
      </c>
      <c r="D114" s="9">
        <v>25.6</v>
      </c>
      <c r="E114" s="9">
        <v>14.4</v>
      </c>
      <c r="F114" s="9">
        <v>0</v>
      </c>
      <c r="G114" s="9">
        <v>131</v>
      </c>
    </row>
    <row r="115" spans="1:7" ht="18.25" customHeight="1">
      <c r="A115" s="7">
        <v>43578</v>
      </c>
      <c r="B115" s="8">
        <f t="shared" si="1"/>
        <v>3</v>
      </c>
      <c r="C115" s="9">
        <v>18.7</v>
      </c>
      <c r="D115" s="9">
        <v>23.3</v>
      </c>
      <c r="E115" s="9">
        <v>15.3</v>
      </c>
      <c r="F115" s="9">
        <v>0</v>
      </c>
      <c r="G115" s="9">
        <v>162</v>
      </c>
    </row>
    <row r="116" spans="1:7" ht="18.25" customHeight="1">
      <c r="A116" s="7">
        <v>43579</v>
      </c>
      <c r="B116" s="8">
        <f t="shared" si="1"/>
        <v>4</v>
      </c>
      <c r="C116" s="9">
        <v>19.100000000000001</v>
      </c>
      <c r="D116" s="9">
        <v>20.6</v>
      </c>
      <c r="E116" s="9">
        <v>17.5</v>
      </c>
      <c r="F116" s="9">
        <v>3</v>
      </c>
      <c r="G116" s="9">
        <v>177</v>
      </c>
    </row>
    <row r="117" spans="1:7" ht="18.25" customHeight="1">
      <c r="A117" s="7">
        <v>43580</v>
      </c>
      <c r="B117" s="8">
        <f t="shared" si="1"/>
        <v>5</v>
      </c>
      <c r="C117" s="9">
        <v>20.3</v>
      </c>
      <c r="D117" s="9">
        <v>24.3</v>
      </c>
      <c r="E117" s="9">
        <v>18.100000000000001</v>
      </c>
      <c r="F117" s="9">
        <v>4</v>
      </c>
      <c r="G117" s="9">
        <v>155</v>
      </c>
    </row>
    <row r="118" spans="1:7" ht="18.25" customHeight="1">
      <c r="A118" s="7">
        <v>43581</v>
      </c>
      <c r="B118" s="8">
        <f t="shared" si="1"/>
        <v>6</v>
      </c>
      <c r="C118" s="9">
        <v>11.6</v>
      </c>
      <c r="D118" s="9">
        <v>20</v>
      </c>
      <c r="E118" s="9">
        <v>9.5</v>
      </c>
      <c r="F118" s="9">
        <v>4.5</v>
      </c>
      <c r="G118" s="9">
        <v>131</v>
      </c>
    </row>
    <row r="119" spans="1:7" ht="18.25" customHeight="1">
      <c r="A119" s="7">
        <v>43582</v>
      </c>
      <c r="B119" s="8">
        <f t="shared" si="1"/>
        <v>7</v>
      </c>
      <c r="C119" s="9">
        <v>10.199999999999999</v>
      </c>
      <c r="D119" s="9">
        <v>13.2</v>
      </c>
      <c r="E119" s="9">
        <v>8</v>
      </c>
      <c r="F119" s="9">
        <v>6.5</v>
      </c>
      <c r="G119" s="9">
        <v>157</v>
      </c>
    </row>
    <row r="120" spans="1:7" ht="18.25" customHeight="1">
      <c r="A120" s="7">
        <v>43583</v>
      </c>
      <c r="B120" s="8">
        <f t="shared" si="1"/>
        <v>1</v>
      </c>
      <c r="C120" s="9">
        <v>12.6</v>
      </c>
      <c r="D120" s="9">
        <v>18.7</v>
      </c>
      <c r="E120" s="9">
        <v>6</v>
      </c>
      <c r="F120" s="9">
        <v>0</v>
      </c>
      <c r="G120" s="9">
        <v>224</v>
      </c>
    </row>
    <row r="121" spans="1:7" ht="18.25" customHeight="1">
      <c r="A121" s="7">
        <v>43584</v>
      </c>
      <c r="B121" s="8">
        <f t="shared" si="1"/>
        <v>2</v>
      </c>
      <c r="C121" s="9">
        <v>14.8</v>
      </c>
      <c r="D121" s="9">
        <v>19.8</v>
      </c>
      <c r="E121" s="9">
        <v>10.5</v>
      </c>
      <c r="F121" s="9">
        <v>0</v>
      </c>
      <c r="G121" s="9">
        <v>126</v>
      </c>
    </row>
    <row r="122" spans="1:7" ht="18.25" customHeight="1">
      <c r="A122" s="7">
        <v>43585</v>
      </c>
      <c r="B122" s="8">
        <f t="shared" si="1"/>
        <v>3</v>
      </c>
      <c r="C122" s="9">
        <v>14.8</v>
      </c>
      <c r="D122" s="9">
        <v>17.399999999999999</v>
      </c>
      <c r="E122" s="9">
        <v>12.8</v>
      </c>
      <c r="F122" s="9">
        <v>20</v>
      </c>
      <c r="G122" s="9">
        <v>123</v>
      </c>
    </row>
    <row r="123" spans="1:7" ht="18.25" customHeight="1">
      <c r="A123" s="7">
        <v>43586</v>
      </c>
      <c r="B123" s="8">
        <f t="shared" si="1"/>
        <v>4</v>
      </c>
      <c r="C123" s="9">
        <v>17.399999999999999</v>
      </c>
      <c r="D123" s="9">
        <v>23.4</v>
      </c>
      <c r="E123" s="9">
        <v>14.3</v>
      </c>
      <c r="F123" s="9">
        <v>26</v>
      </c>
      <c r="G123" s="9">
        <v>147</v>
      </c>
    </row>
    <row r="124" spans="1:7" ht="18.25" customHeight="1">
      <c r="A124" s="7">
        <v>43587</v>
      </c>
      <c r="B124" s="8">
        <f t="shared" si="1"/>
        <v>5</v>
      </c>
      <c r="C124" s="9">
        <v>17.3</v>
      </c>
      <c r="D124" s="9">
        <v>23.9</v>
      </c>
      <c r="E124" s="9">
        <v>13.8</v>
      </c>
      <c r="F124" s="9">
        <v>3.5</v>
      </c>
      <c r="G124" s="9">
        <v>157</v>
      </c>
    </row>
    <row r="125" spans="1:7" ht="18.25" customHeight="1">
      <c r="A125" s="7">
        <v>43588</v>
      </c>
      <c r="B125" s="8">
        <f t="shared" si="1"/>
        <v>6</v>
      </c>
      <c r="C125" s="9">
        <v>18.5</v>
      </c>
      <c r="D125" s="9">
        <v>25</v>
      </c>
      <c r="E125" s="9">
        <v>11</v>
      </c>
      <c r="F125" s="9">
        <v>0</v>
      </c>
      <c r="G125" s="9">
        <v>148</v>
      </c>
    </row>
    <row r="126" spans="1:7" ht="18.25" customHeight="1">
      <c r="A126" s="7">
        <v>43589</v>
      </c>
      <c r="B126" s="8">
        <f t="shared" si="1"/>
        <v>7</v>
      </c>
      <c r="C126" s="9">
        <v>18.399999999999999</v>
      </c>
      <c r="D126" s="9">
        <v>24.8</v>
      </c>
      <c r="E126" s="9">
        <v>14.1</v>
      </c>
      <c r="F126" s="9">
        <v>0</v>
      </c>
      <c r="G126" s="9">
        <v>216</v>
      </c>
    </row>
    <row r="127" spans="1:7" ht="18.25" customHeight="1">
      <c r="A127" s="7">
        <v>43590</v>
      </c>
      <c r="B127" s="8">
        <f t="shared" si="1"/>
        <v>1</v>
      </c>
      <c r="C127" s="9">
        <v>18.899999999999999</v>
      </c>
      <c r="D127" s="9">
        <v>25.2</v>
      </c>
      <c r="E127" s="9">
        <v>12.5</v>
      </c>
      <c r="F127" s="9">
        <v>0</v>
      </c>
      <c r="G127" s="9">
        <v>218</v>
      </c>
    </row>
    <row r="128" spans="1:7" ht="18.25" customHeight="1">
      <c r="A128" s="7">
        <v>43591</v>
      </c>
      <c r="B128" s="8">
        <f t="shared" si="1"/>
        <v>2</v>
      </c>
      <c r="C128" s="9">
        <v>18.8</v>
      </c>
      <c r="D128" s="9">
        <v>22.1</v>
      </c>
      <c r="E128" s="9">
        <v>15.1</v>
      </c>
      <c r="F128" s="9">
        <v>0</v>
      </c>
      <c r="G128" s="9">
        <v>124</v>
      </c>
    </row>
    <row r="129" spans="1:7" ht="18.25" customHeight="1">
      <c r="A129" s="7">
        <v>43592</v>
      </c>
      <c r="B129" s="8">
        <f t="shared" si="1"/>
        <v>3</v>
      </c>
      <c r="C129" s="9">
        <v>15.3</v>
      </c>
      <c r="D129" s="9">
        <v>20.9</v>
      </c>
      <c r="E129" s="9">
        <v>10.8</v>
      </c>
      <c r="F129" s="9">
        <v>0</v>
      </c>
      <c r="G129" s="9">
        <v>135</v>
      </c>
    </row>
    <row r="130" spans="1:7" ht="18.25" customHeight="1">
      <c r="A130" s="7">
        <v>43593</v>
      </c>
      <c r="B130" s="8">
        <f t="shared" si="1"/>
        <v>4</v>
      </c>
      <c r="C130" s="9">
        <v>16.5</v>
      </c>
      <c r="D130" s="9">
        <v>22.7</v>
      </c>
      <c r="E130" s="9">
        <v>7.9</v>
      </c>
      <c r="F130" s="9">
        <v>0</v>
      </c>
      <c r="G130" s="9">
        <v>178</v>
      </c>
    </row>
    <row r="131" spans="1:7" ht="18.25" customHeight="1">
      <c r="A131" s="7">
        <v>43594</v>
      </c>
      <c r="B131" s="8">
        <f t="shared" ref="B131:B194" si="2">WEEKDAY($A131)</f>
        <v>5</v>
      </c>
      <c r="C131" s="9">
        <v>18.600000000000001</v>
      </c>
      <c r="D131" s="9">
        <v>22.7</v>
      </c>
      <c r="E131" s="9">
        <v>14.3</v>
      </c>
      <c r="F131" s="9">
        <v>0</v>
      </c>
      <c r="G131" s="9">
        <v>163</v>
      </c>
    </row>
    <row r="132" spans="1:7" ht="18.25" customHeight="1">
      <c r="A132" s="7">
        <v>43595</v>
      </c>
      <c r="B132" s="8">
        <f t="shared" si="2"/>
        <v>6</v>
      </c>
      <c r="C132" s="9">
        <v>20.6</v>
      </c>
      <c r="D132" s="9">
        <v>27.1</v>
      </c>
      <c r="E132" s="9">
        <v>13.9</v>
      </c>
      <c r="F132" s="9">
        <v>0</v>
      </c>
      <c r="G132" s="9">
        <v>155</v>
      </c>
    </row>
    <row r="133" spans="1:7" ht="18.25" customHeight="1">
      <c r="A133" s="7">
        <v>43596</v>
      </c>
      <c r="B133" s="8">
        <f t="shared" si="2"/>
        <v>7</v>
      </c>
      <c r="C133" s="9">
        <v>20.9</v>
      </c>
      <c r="D133" s="9">
        <v>27.8</v>
      </c>
      <c r="E133" s="9">
        <v>15.3</v>
      </c>
      <c r="F133" s="9">
        <v>0</v>
      </c>
      <c r="G133" s="9">
        <v>217</v>
      </c>
    </row>
    <row r="134" spans="1:7" ht="18.25" customHeight="1">
      <c r="A134" s="7">
        <v>43597</v>
      </c>
      <c r="B134" s="8">
        <f t="shared" si="2"/>
        <v>1</v>
      </c>
      <c r="C134" s="9">
        <v>17.600000000000001</v>
      </c>
      <c r="D134" s="9">
        <v>22.2</v>
      </c>
      <c r="E134" s="9">
        <v>14.5</v>
      </c>
      <c r="F134" s="9">
        <v>0</v>
      </c>
      <c r="G134" s="9">
        <v>236</v>
      </c>
    </row>
    <row r="135" spans="1:7" ht="18.25" customHeight="1">
      <c r="A135" s="7">
        <v>43598</v>
      </c>
      <c r="B135" s="8">
        <f t="shared" si="2"/>
        <v>2</v>
      </c>
      <c r="C135" s="9">
        <v>17.7</v>
      </c>
      <c r="D135" s="9">
        <v>22.6</v>
      </c>
      <c r="E135" s="9">
        <v>13.3</v>
      </c>
      <c r="F135" s="9">
        <v>0</v>
      </c>
      <c r="G135" s="9">
        <v>127</v>
      </c>
    </row>
    <row r="136" spans="1:7" ht="18.25" customHeight="1">
      <c r="A136" s="7">
        <v>43599</v>
      </c>
      <c r="B136" s="8">
        <f t="shared" si="2"/>
        <v>3</v>
      </c>
      <c r="C136" s="9">
        <v>17.899999999999999</v>
      </c>
      <c r="D136" s="9">
        <v>19.3</v>
      </c>
      <c r="E136" s="9">
        <v>16.100000000000001</v>
      </c>
      <c r="F136" s="9">
        <v>0.5</v>
      </c>
      <c r="G136" s="9">
        <v>139</v>
      </c>
    </row>
    <row r="137" spans="1:7" ht="18.25" customHeight="1">
      <c r="A137" s="7">
        <v>43600</v>
      </c>
      <c r="B137" s="8">
        <f t="shared" si="2"/>
        <v>4</v>
      </c>
      <c r="C137" s="9">
        <v>18.7</v>
      </c>
      <c r="D137" s="9">
        <v>23.8</v>
      </c>
      <c r="E137" s="9">
        <v>15.7</v>
      </c>
      <c r="F137" s="9">
        <v>0</v>
      </c>
      <c r="G137" s="9">
        <v>181</v>
      </c>
    </row>
    <row r="138" spans="1:7" ht="18.25" customHeight="1">
      <c r="A138" s="7">
        <v>43601</v>
      </c>
      <c r="B138" s="8">
        <f t="shared" si="2"/>
        <v>5</v>
      </c>
      <c r="C138" s="9">
        <v>20</v>
      </c>
      <c r="D138" s="9">
        <v>24.6</v>
      </c>
      <c r="E138" s="9">
        <v>16</v>
      </c>
      <c r="F138" s="9">
        <v>0</v>
      </c>
      <c r="G138" s="9">
        <v>159</v>
      </c>
    </row>
    <row r="139" spans="1:7" ht="18.25" customHeight="1">
      <c r="A139" s="7">
        <v>43602</v>
      </c>
      <c r="B139" s="8">
        <f t="shared" si="2"/>
        <v>6</v>
      </c>
      <c r="C139" s="9">
        <v>20</v>
      </c>
      <c r="D139" s="9">
        <v>25.9</v>
      </c>
      <c r="E139" s="9">
        <v>15.3</v>
      </c>
      <c r="F139" s="9">
        <v>0</v>
      </c>
      <c r="G139" s="9">
        <v>162</v>
      </c>
    </row>
    <row r="140" spans="1:7" ht="18.25" customHeight="1">
      <c r="A140" s="7">
        <v>43603</v>
      </c>
      <c r="B140" s="8">
        <f t="shared" si="2"/>
        <v>7</v>
      </c>
      <c r="C140" s="9">
        <v>20.3</v>
      </c>
      <c r="D140" s="9">
        <v>25.6</v>
      </c>
      <c r="E140" s="9">
        <v>15.6</v>
      </c>
      <c r="F140" s="9">
        <v>0</v>
      </c>
      <c r="G140" s="9">
        <v>194</v>
      </c>
    </row>
    <row r="141" spans="1:7" ht="18.25" customHeight="1">
      <c r="A141" s="7">
        <v>43604</v>
      </c>
      <c r="B141" s="8">
        <f t="shared" si="2"/>
        <v>1</v>
      </c>
      <c r="C141" s="9">
        <v>20.5</v>
      </c>
      <c r="D141" s="9">
        <v>25.2</v>
      </c>
      <c r="E141" s="9">
        <v>17.5</v>
      </c>
      <c r="F141" s="9">
        <v>0</v>
      </c>
      <c r="G141" s="9">
        <v>240</v>
      </c>
    </row>
    <row r="142" spans="1:7" ht="18.25" customHeight="1">
      <c r="A142" s="7">
        <v>43605</v>
      </c>
      <c r="B142" s="8">
        <f t="shared" si="2"/>
        <v>2</v>
      </c>
      <c r="C142" s="9">
        <v>20.5</v>
      </c>
      <c r="D142" s="9">
        <v>25</v>
      </c>
      <c r="E142" s="9">
        <v>16.5</v>
      </c>
      <c r="F142" s="9">
        <v>0</v>
      </c>
      <c r="G142" s="9">
        <v>134</v>
      </c>
    </row>
    <row r="143" spans="1:7" ht="18.25" customHeight="1">
      <c r="A143" s="7">
        <v>43606</v>
      </c>
      <c r="B143" s="8">
        <f t="shared" si="2"/>
        <v>3</v>
      </c>
      <c r="C143" s="9">
        <v>19.399999999999999</v>
      </c>
      <c r="D143" s="9">
        <v>21.9</v>
      </c>
      <c r="E143" s="9">
        <v>16.3</v>
      </c>
      <c r="F143" s="9">
        <v>82</v>
      </c>
      <c r="G143" s="9">
        <v>69</v>
      </c>
    </row>
    <row r="144" spans="1:7" ht="18.25" customHeight="1">
      <c r="A144" s="7">
        <v>43607</v>
      </c>
      <c r="B144" s="8">
        <f t="shared" si="2"/>
        <v>4</v>
      </c>
      <c r="C144" s="9">
        <v>19.399999999999999</v>
      </c>
      <c r="D144" s="9">
        <v>25.2</v>
      </c>
      <c r="E144" s="9">
        <v>14.1</v>
      </c>
      <c r="F144" s="9">
        <v>0</v>
      </c>
      <c r="G144" s="9">
        <v>183</v>
      </c>
    </row>
    <row r="145" spans="1:7" ht="18.25" customHeight="1">
      <c r="A145" s="7">
        <v>43608</v>
      </c>
      <c r="B145" s="8">
        <f t="shared" si="2"/>
        <v>5</v>
      </c>
      <c r="C145" s="9">
        <v>21.3</v>
      </c>
      <c r="D145" s="9">
        <v>27</v>
      </c>
      <c r="E145" s="9">
        <v>15.2</v>
      </c>
      <c r="F145" s="9">
        <v>0</v>
      </c>
      <c r="G145" s="9">
        <v>151</v>
      </c>
    </row>
    <row r="146" spans="1:7" ht="18.25" customHeight="1">
      <c r="A146" s="7">
        <v>43609</v>
      </c>
      <c r="B146" s="8">
        <f t="shared" si="2"/>
        <v>6</v>
      </c>
      <c r="C146" s="9">
        <v>23.1</v>
      </c>
      <c r="D146" s="9">
        <v>31</v>
      </c>
      <c r="E146" s="9">
        <v>16.399999999999999</v>
      </c>
      <c r="F146" s="9">
        <v>0</v>
      </c>
      <c r="G146" s="9">
        <v>172</v>
      </c>
    </row>
    <row r="147" spans="1:7" ht="18.25" customHeight="1">
      <c r="A147" s="7">
        <v>43610</v>
      </c>
      <c r="B147" s="8">
        <f t="shared" si="2"/>
        <v>7</v>
      </c>
      <c r="C147" s="9">
        <v>24.4</v>
      </c>
      <c r="D147" s="9">
        <v>31.9</v>
      </c>
      <c r="E147" s="9">
        <v>17</v>
      </c>
      <c r="F147" s="9">
        <v>0</v>
      </c>
      <c r="G147" s="9">
        <v>231</v>
      </c>
    </row>
    <row r="148" spans="1:7" ht="18.25" customHeight="1">
      <c r="A148" s="7">
        <v>43611</v>
      </c>
      <c r="B148" s="8">
        <f t="shared" si="2"/>
        <v>1</v>
      </c>
      <c r="C148" s="9">
        <v>25.2</v>
      </c>
      <c r="D148" s="9">
        <v>32.6</v>
      </c>
      <c r="E148" s="9">
        <v>18.600000000000001</v>
      </c>
      <c r="F148" s="9">
        <v>0</v>
      </c>
      <c r="G148" s="9">
        <v>248</v>
      </c>
    </row>
    <row r="149" spans="1:7" ht="18.25" customHeight="1">
      <c r="A149" s="7">
        <v>43612</v>
      </c>
      <c r="B149" s="8">
        <f t="shared" si="2"/>
        <v>2</v>
      </c>
      <c r="C149" s="9">
        <v>26.1</v>
      </c>
      <c r="D149" s="9">
        <v>32.4</v>
      </c>
      <c r="E149" s="9">
        <v>19.899999999999999</v>
      </c>
      <c r="F149" s="9">
        <v>0</v>
      </c>
      <c r="G149" s="9">
        <v>149</v>
      </c>
    </row>
    <row r="150" spans="1:7" ht="18.25" customHeight="1">
      <c r="A150" s="7">
        <v>43613</v>
      </c>
      <c r="B150" s="8">
        <f t="shared" si="2"/>
        <v>3</v>
      </c>
      <c r="C150" s="9">
        <v>23.5</v>
      </c>
      <c r="D150" s="9">
        <v>28.1</v>
      </c>
      <c r="E150" s="9">
        <v>19.100000000000001</v>
      </c>
      <c r="F150" s="9">
        <v>1</v>
      </c>
      <c r="G150" s="9">
        <v>168</v>
      </c>
    </row>
    <row r="151" spans="1:7" ht="18.25" customHeight="1">
      <c r="A151" s="7">
        <v>43614</v>
      </c>
      <c r="B151" s="8">
        <f t="shared" si="2"/>
        <v>4</v>
      </c>
      <c r="C151" s="9">
        <v>20.2</v>
      </c>
      <c r="D151" s="9">
        <v>25.1</v>
      </c>
      <c r="E151" s="9">
        <v>16.8</v>
      </c>
      <c r="F151" s="9">
        <v>7.5</v>
      </c>
      <c r="G151" s="9">
        <v>174</v>
      </c>
    </row>
    <row r="152" spans="1:7" ht="18.25" customHeight="1">
      <c r="A152" s="7">
        <v>43615</v>
      </c>
      <c r="B152" s="8">
        <f t="shared" si="2"/>
        <v>5</v>
      </c>
      <c r="C152" s="9">
        <v>21.2</v>
      </c>
      <c r="D152" s="9">
        <v>26</v>
      </c>
      <c r="E152" s="9">
        <v>16.600000000000001</v>
      </c>
      <c r="F152" s="9">
        <v>0</v>
      </c>
      <c r="G152" s="9">
        <v>164</v>
      </c>
    </row>
    <row r="153" spans="1:7" ht="18.25" customHeight="1">
      <c r="A153" s="7">
        <v>43616</v>
      </c>
      <c r="B153" s="8">
        <f t="shared" si="2"/>
        <v>6</v>
      </c>
      <c r="C153" s="9">
        <v>21.6</v>
      </c>
      <c r="D153" s="9">
        <v>24.2</v>
      </c>
      <c r="E153" s="9">
        <v>19.5</v>
      </c>
      <c r="F153" s="9">
        <v>0</v>
      </c>
      <c r="G153" s="9">
        <v>175</v>
      </c>
    </row>
    <row r="154" spans="1:7" ht="18.25" customHeight="1">
      <c r="A154" s="7">
        <v>43617</v>
      </c>
      <c r="B154" s="8">
        <f t="shared" si="2"/>
        <v>7</v>
      </c>
      <c r="C154" s="9">
        <v>21.8</v>
      </c>
      <c r="D154" s="9">
        <v>25.7</v>
      </c>
      <c r="E154" s="9">
        <v>18.600000000000001</v>
      </c>
      <c r="F154" s="9">
        <v>0</v>
      </c>
      <c r="G154" s="9">
        <v>207</v>
      </c>
    </row>
    <row r="155" spans="1:7" ht="18.25" customHeight="1">
      <c r="A155" s="7">
        <v>43618</v>
      </c>
      <c r="B155" s="8">
        <f t="shared" si="2"/>
        <v>1</v>
      </c>
      <c r="C155" s="9">
        <v>22</v>
      </c>
      <c r="D155" s="9">
        <v>25</v>
      </c>
      <c r="E155" s="9">
        <v>19</v>
      </c>
      <c r="F155" s="9">
        <v>0</v>
      </c>
      <c r="G155" s="9">
        <v>227</v>
      </c>
    </row>
    <row r="156" spans="1:7" ht="18.25" customHeight="1">
      <c r="A156" s="7">
        <v>43619</v>
      </c>
      <c r="B156" s="8">
        <f t="shared" si="2"/>
        <v>2</v>
      </c>
      <c r="C156" s="9">
        <v>22.2</v>
      </c>
      <c r="D156" s="9">
        <v>27</v>
      </c>
      <c r="E156" s="9">
        <v>18.7</v>
      </c>
      <c r="F156" s="9">
        <v>0</v>
      </c>
      <c r="G156" s="9">
        <v>140</v>
      </c>
    </row>
    <row r="157" spans="1:7" ht="18.25" customHeight="1">
      <c r="A157" s="7">
        <v>43620</v>
      </c>
      <c r="B157" s="8">
        <f t="shared" si="2"/>
        <v>3</v>
      </c>
      <c r="C157" s="9">
        <v>22.4</v>
      </c>
      <c r="D157" s="9">
        <v>27.7</v>
      </c>
      <c r="E157" s="9">
        <v>17.600000000000001</v>
      </c>
      <c r="F157" s="9">
        <v>0</v>
      </c>
      <c r="G157" s="9">
        <v>168</v>
      </c>
    </row>
    <row r="158" spans="1:7" ht="18.25" customHeight="1">
      <c r="A158" s="7">
        <v>43621</v>
      </c>
      <c r="B158" s="8">
        <f t="shared" si="2"/>
        <v>4</v>
      </c>
      <c r="C158" s="9">
        <v>22.6</v>
      </c>
      <c r="D158" s="9">
        <v>25.8</v>
      </c>
      <c r="E158" s="9">
        <v>20</v>
      </c>
      <c r="F158" s="9">
        <v>0</v>
      </c>
      <c r="G158" s="9">
        <v>178</v>
      </c>
    </row>
    <row r="159" spans="1:7" ht="18.25" customHeight="1">
      <c r="A159" s="7">
        <v>43622</v>
      </c>
      <c r="B159" s="8">
        <f t="shared" si="2"/>
        <v>5</v>
      </c>
      <c r="C159" s="9">
        <v>25.2</v>
      </c>
      <c r="D159" s="9">
        <v>32.299999999999997</v>
      </c>
      <c r="E159" s="9">
        <v>18.7</v>
      </c>
      <c r="F159" s="9">
        <v>0</v>
      </c>
      <c r="G159" s="9">
        <v>167</v>
      </c>
    </row>
    <row r="160" spans="1:7" ht="18.25" customHeight="1">
      <c r="A160" s="7">
        <v>43623</v>
      </c>
      <c r="B160" s="8">
        <f t="shared" si="2"/>
        <v>6</v>
      </c>
      <c r="C160" s="9">
        <v>21</v>
      </c>
      <c r="D160" s="9">
        <v>23.4</v>
      </c>
      <c r="E160" s="9">
        <v>19</v>
      </c>
      <c r="F160" s="9">
        <v>19.5</v>
      </c>
      <c r="G160" s="9">
        <v>137</v>
      </c>
    </row>
    <row r="161" spans="1:7" ht="18.25" customHeight="1">
      <c r="A161" s="7">
        <v>43624</v>
      </c>
      <c r="B161" s="8">
        <f t="shared" si="2"/>
        <v>7</v>
      </c>
      <c r="C161" s="9">
        <v>20.8</v>
      </c>
      <c r="D161" s="9">
        <v>25.4</v>
      </c>
      <c r="E161" s="9">
        <v>18.7</v>
      </c>
      <c r="F161" s="9">
        <v>0</v>
      </c>
      <c r="G161" s="9">
        <v>215</v>
      </c>
    </row>
    <row r="162" spans="1:7" ht="18.25" customHeight="1">
      <c r="A162" s="7">
        <v>43625</v>
      </c>
      <c r="B162" s="8">
        <f t="shared" si="2"/>
        <v>1</v>
      </c>
      <c r="C162" s="9">
        <v>17.5</v>
      </c>
      <c r="D162" s="9">
        <v>20.7</v>
      </c>
      <c r="E162" s="9">
        <v>15.9</v>
      </c>
      <c r="F162" s="9">
        <v>10</v>
      </c>
      <c r="G162" s="9">
        <v>212</v>
      </c>
    </row>
    <row r="163" spans="1:7" ht="18.25" customHeight="1">
      <c r="A163" s="7">
        <v>43626</v>
      </c>
      <c r="B163" s="8">
        <f t="shared" si="2"/>
        <v>2</v>
      </c>
      <c r="C163" s="9">
        <v>16.2</v>
      </c>
      <c r="D163" s="9">
        <v>17.399999999999999</v>
      </c>
      <c r="E163" s="9">
        <v>14.9</v>
      </c>
      <c r="F163" s="9">
        <v>92.5</v>
      </c>
      <c r="G163" s="9">
        <v>31</v>
      </c>
    </row>
    <row r="164" spans="1:7" ht="18.25" customHeight="1">
      <c r="A164" s="7">
        <v>43627</v>
      </c>
      <c r="B164" s="8">
        <f t="shared" si="2"/>
        <v>3</v>
      </c>
      <c r="C164" s="9">
        <v>18.3</v>
      </c>
      <c r="D164" s="9">
        <v>23.6</v>
      </c>
      <c r="E164" s="9">
        <v>15</v>
      </c>
      <c r="F164" s="9">
        <v>1</v>
      </c>
      <c r="G164" s="9">
        <v>155</v>
      </c>
    </row>
    <row r="165" spans="1:7" ht="18.25" customHeight="1">
      <c r="A165" s="7">
        <v>43628</v>
      </c>
      <c r="B165" s="8">
        <f t="shared" si="2"/>
        <v>4</v>
      </c>
      <c r="C165" s="9">
        <v>18</v>
      </c>
      <c r="D165" s="9">
        <v>21.5</v>
      </c>
      <c r="E165" s="9">
        <v>14.5</v>
      </c>
      <c r="F165" s="9">
        <v>0.5</v>
      </c>
      <c r="G165" s="9">
        <v>160</v>
      </c>
    </row>
    <row r="166" spans="1:7" ht="18.25" customHeight="1">
      <c r="A166" s="7">
        <v>43629</v>
      </c>
      <c r="B166" s="8">
        <f t="shared" si="2"/>
        <v>5</v>
      </c>
      <c r="C166" s="9">
        <v>20.7</v>
      </c>
      <c r="D166" s="9">
        <v>26.4</v>
      </c>
      <c r="E166" s="9">
        <v>13.9</v>
      </c>
      <c r="F166" s="9">
        <v>0</v>
      </c>
      <c r="G166" s="9">
        <v>151</v>
      </c>
    </row>
    <row r="167" spans="1:7" ht="18.25" customHeight="1">
      <c r="A167" s="7">
        <v>43630</v>
      </c>
      <c r="B167" s="8">
        <f t="shared" si="2"/>
        <v>6</v>
      </c>
      <c r="C167" s="9">
        <v>22.2</v>
      </c>
      <c r="D167" s="9">
        <v>26.8</v>
      </c>
      <c r="E167" s="9">
        <v>17.7</v>
      </c>
      <c r="F167" s="9">
        <v>0</v>
      </c>
      <c r="G167" s="9">
        <v>176</v>
      </c>
    </row>
    <row r="168" spans="1:7" ht="18.25" customHeight="1">
      <c r="A168" s="7">
        <v>43631</v>
      </c>
      <c r="B168" s="8">
        <f t="shared" si="2"/>
        <v>7</v>
      </c>
      <c r="C168" s="9">
        <v>17.3</v>
      </c>
      <c r="D168" s="9">
        <v>20.9</v>
      </c>
      <c r="E168" s="9">
        <v>16.2</v>
      </c>
      <c r="F168" s="9">
        <v>51</v>
      </c>
      <c r="G168" s="9">
        <v>144</v>
      </c>
    </row>
    <row r="169" spans="1:7" ht="18.25" customHeight="1">
      <c r="A169" s="7">
        <v>43632</v>
      </c>
      <c r="B169" s="8">
        <f t="shared" si="2"/>
        <v>1</v>
      </c>
      <c r="C169" s="9">
        <v>23.5</v>
      </c>
      <c r="D169" s="9">
        <v>30.7</v>
      </c>
      <c r="E169" s="9">
        <v>16.899999999999999</v>
      </c>
      <c r="F169" s="9">
        <v>5</v>
      </c>
      <c r="G169" s="9">
        <v>234</v>
      </c>
    </row>
    <row r="170" spans="1:7" ht="18.25" customHeight="1">
      <c r="A170" s="7">
        <v>43633</v>
      </c>
      <c r="B170" s="8">
        <f t="shared" si="2"/>
        <v>2</v>
      </c>
      <c r="C170" s="9">
        <v>23.6</v>
      </c>
      <c r="D170" s="9">
        <v>28.7</v>
      </c>
      <c r="E170" s="9">
        <v>17.399999999999999</v>
      </c>
      <c r="F170" s="9">
        <v>0</v>
      </c>
      <c r="G170" s="9">
        <v>155</v>
      </c>
    </row>
    <row r="171" spans="1:7" ht="18.25" customHeight="1">
      <c r="A171" s="7">
        <v>43634</v>
      </c>
      <c r="B171" s="8">
        <f t="shared" si="2"/>
        <v>3</v>
      </c>
      <c r="C171" s="9">
        <v>23.4</v>
      </c>
      <c r="D171" s="9">
        <v>27.7</v>
      </c>
      <c r="E171" s="9">
        <v>20</v>
      </c>
      <c r="F171" s="9">
        <v>0</v>
      </c>
      <c r="G171" s="9">
        <v>181</v>
      </c>
    </row>
    <row r="172" spans="1:7" ht="18.25" customHeight="1">
      <c r="A172" s="7">
        <v>43635</v>
      </c>
      <c r="B172" s="8">
        <f t="shared" si="2"/>
        <v>4</v>
      </c>
      <c r="C172" s="9">
        <v>23.5</v>
      </c>
      <c r="D172" s="9">
        <v>28.6</v>
      </c>
      <c r="E172" s="9">
        <v>18.8</v>
      </c>
      <c r="F172" s="9">
        <v>0</v>
      </c>
      <c r="G172" s="9">
        <v>190</v>
      </c>
    </row>
    <row r="173" spans="1:7" ht="18.25" customHeight="1">
      <c r="A173" s="7">
        <v>43636</v>
      </c>
      <c r="B173" s="8">
        <f t="shared" si="2"/>
        <v>5</v>
      </c>
      <c r="C173" s="9">
        <v>24.1</v>
      </c>
      <c r="D173" s="9">
        <v>29.1</v>
      </c>
      <c r="E173" s="9">
        <v>21.1</v>
      </c>
      <c r="F173" s="9">
        <v>0</v>
      </c>
      <c r="G173" s="9">
        <v>183</v>
      </c>
    </row>
    <row r="174" spans="1:7" ht="18.25" customHeight="1">
      <c r="A174" s="7">
        <v>43637</v>
      </c>
      <c r="B174" s="8">
        <f t="shared" si="2"/>
        <v>6</v>
      </c>
      <c r="C174" s="9">
        <v>24.6</v>
      </c>
      <c r="D174" s="9">
        <v>29.5</v>
      </c>
      <c r="E174" s="9">
        <v>22.3</v>
      </c>
      <c r="F174" s="9">
        <v>0</v>
      </c>
      <c r="G174" s="9">
        <v>184</v>
      </c>
    </row>
    <row r="175" spans="1:7" ht="18.25" customHeight="1">
      <c r="A175" s="7">
        <v>43638</v>
      </c>
      <c r="B175" s="8">
        <f t="shared" si="2"/>
        <v>7</v>
      </c>
      <c r="C175" s="9">
        <v>22.2</v>
      </c>
      <c r="D175" s="9">
        <v>25.3</v>
      </c>
      <c r="E175" s="9">
        <v>20.6</v>
      </c>
      <c r="F175" s="9">
        <v>6</v>
      </c>
      <c r="G175" s="9">
        <v>219</v>
      </c>
    </row>
    <row r="176" spans="1:7" ht="18.25" customHeight="1">
      <c r="A176" s="7">
        <v>43639</v>
      </c>
      <c r="B176" s="8">
        <f t="shared" si="2"/>
        <v>1</v>
      </c>
      <c r="C176" s="9">
        <v>21.4</v>
      </c>
      <c r="D176" s="9">
        <v>24</v>
      </c>
      <c r="E176" s="9">
        <v>19.600000000000001</v>
      </c>
      <c r="F176" s="9">
        <v>0</v>
      </c>
      <c r="G176" s="9">
        <v>245</v>
      </c>
    </row>
    <row r="177" spans="1:7" ht="18.25" customHeight="1">
      <c r="A177" s="7">
        <v>43640</v>
      </c>
      <c r="B177" s="8">
        <f t="shared" si="2"/>
        <v>2</v>
      </c>
      <c r="C177" s="9">
        <v>19.100000000000001</v>
      </c>
      <c r="D177" s="9">
        <v>21</v>
      </c>
      <c r="E177" s="9">
        <v>17.8</v>
      </c>
      <c r="F177" s="9">
        <v>25.5</v>
      </c>
      <c r="G177" s="9">
        <v>102</v>
      </c>
    </row>
    <row r="178" spans="1:7" ht="18.25" customHeight="1">
      <c r="A178" s="7">
        <v>43641</v>
      </c>
      <c r="B178" s="8">
        <f t="shared" si="2"/>
        <v>3</v>
      </c>
      <c r="C178" s="9">
        <v>22.3</v>
      </c>
      <c r="D178" s="9">
        <v>27.3</v>
      </c>
      <c r="E178" s="9">
        <v>17.2</v>
      </c>
      <c r="F178" s="9">
        <v>0</v>
      </c>
      <c r="G178" s="9">
        <v>157</v>
      </c>
    </row>
    <row r="179" spans="1:7" ht="18.25" customHeight="1">
      <c r="A179" s="7">
        <v>43642</v>
      </c>
      <c r="B179" s="8">
        <f t="shared" si="2"/>
        <v>4</v>
      </c>
      <c r="C179" s="9">
        <v>24.7</v>
      </c>
      <c r="D179" s="9">
        <v>28.9</v>
      </c>
      <c r="E179" s="9">
        <v>20.399999999999999</v>
      </c>
      <c r="F179" s="9">
        <v>0</v>
      </c>
      <c r="G179" s="9">
        <v>191</v>
      </c>
    </row>
    <row r="180" spans="1:7" ht="18.25" customHeight="1">
      <c r="A180" s="7">
        <v>43643</v>
      </c>
      <c r="B180" s="8">
        <f t="shared" si="2"/>
        <v>5</v>
      </c>
      <c r="C180" s="9">
        <v>25.6</v>
      </c>
      <c r="D180" s="9">
        <v>28.7</v>
      </c>
      <c r="E180" s="9">
        <v>22.8</v>
      </c>
      <c r="F180" s="9">
        <v>2</v>
      </c>
      <c r="G180" s="9">
        <v>169</v>
      </c>
    </row>
    <row r="181" spans="1:7" ht="18.25" customHeight="1">
      <c r="A181" s="7">
        <v>43644</v>
      </c>
      <c r="B181" s="8">
        <f t="shared" si="2"/>
        <v>6</v>
      </c>
      <c r="C181" s="9">
        <v>25.2</v>
      </c>
      <c r="D181" s="9">
        <v>30.7</v>
      </c>
      <c r="E181" s="9">
        <v>21.4</v>
      </c>
      <c r="F181" s="9">
        <v>3.5</v>
      </c>
      <c r="G181" s="9">
        <v>183</v>
      </c>
    </row>
    <row r="182" spans="1:7" ht="18.25" customHeight="1">
      <c r="A182" s="7">
        <v>43645</v>
      </c>
      <c r="B182" s="8">
        <f t="shared" si="2"/>
        <v>7</v>
      </c>
      <c r="C182" s="9">
        <v>20.2</v>
      </c>
      <c r="D182" s="9">
        <v>21.5</v>
      </c>
      <c r="E182" s="9">
        <v>19</v>
      </c>
      <c r="F182" s="9">
        <v>3</v>
      </c>
      <c r="G182" s="9">
        <v>203</v>
      </c>
    </row>
    <row r="183" spans="1:7" ht="18.25" customHeight="1">
      <c r="A183" s="7">
        <v>43646</v>
      </c>
      <c r="B183" s="8">
        <f t="shared" si="2"/>
        <v>1</v>
      </c>
      <c r="C183" s="9">
        <v>21.6</v>
      </c>
      <c r="D183" s="9">
        <v>23.6</v>
      </c>
      <c r="E183" s="9">
        <v>20.3</v>
      </c>
      <c r="F183" s="9">
        <v>5.5</v>
      </c>
      <c r="G183" s="9">
        <v>240</v>
      </c>
    </row>
    <row r="184" spans="1:7" ht="18.25" customHeight="1">
      <c r="A184" s="7">
        <v>43647</v>
      </c>
      <c r="B184" s="8">
        <f t="shared" si="2"/>
        <v>2</v>
      </c>
      <c r="C184" s="9">
        <v>22.7</v>
      </c>
      <c r="D184" s="9">
        <v>24.3</v>
      </c>
      <c r="E184" s="9">
        <v>21</v>
      </c>
      <c r="F184" s="9">
        <v>1.5</v>
      </c>
      <c r="G184" s="9">
        <v>135</v>
      </c>
    </row>
    <row r="185" spans="1:7" ht="18.25" customHeight="1">
      <c r="A185" s="7">
        <v>43648</v>
      </c>
      <c r="B185" s="8">
        <f t="shared" si="2"/>
        <v>3</v>
      </c>
      <c r="C185" s="9">
        <v>23.8</v>
      </c>
      <c r="D185" s="9">
        <v>28.1</v>
      </c>
      <c r="E185" s="9">
        <v>21.5</v>
      </c>
      <c r="F185" s="9">
        <v>0.5</v>
      </c>
      <c r="G185" s="9">
        <v>185</v>
      </c>
    </row>
    <row r="186" spans="1:7" ht="18.25" customHeight="1">
      <c r="A186" s="7">
        <v>43649</v>
      </c>
      <c r="B186" s="8">
        <f t="shared" si="2"/>
        <v>4</v>
      </c>
      <c r="C186" s="9">
        <v>24.9</v>
      </c>
      <c r="D186" s="9">
        <v>29.1</v>
      </c>
      <c r="E186" s="9">
        <v>22.2</v>
      </c>
      <c r="F186" s="9">
        <v>1</v>
      </c>
      <c r="G186" s="9">
        <v>204</v>
      </c>
    </row>
    <row r="187" spans="1:7" ht="18.25" customHeight="1">
      <c r="A187" s="7">
        <v>43650</v>
      </c>
      <c r="B187" s="8">
        <f t="shared" si="2"/>
        <v>5</v>
      </c>
      <c r="C187" s="9">
        <v>22.7</v>
      </c>
      <c r="D187" s="9">
        <v>25.2</v>
      </c>
      <c r="E187" s="9">
        <v>19.899999999999999</v>
      </c>
      <c r="F187" s="9">
        <v>10.5</v>
      </c>
      <c r="G187" s="9">
        <v>167</v>
      </c>
    </row>
    <row r="188" spans="1:7" ht="18.25" customHeight="1">
      <c r="A188" s="7">
        <v>43651</v>
      </c>
      <c r="B188" s="8">
        <f t="shared" si="2"/>
        <v>6</v>
      </c>
      <c r="C188" s="9">
        <v>21.9</v>
      </c>
      <c r="D188" s="9">
        <v>24.5</v>
      </c>
      <c r="E188" s="9">
        <v>19</v>
      </c>
      <c r="F188" s="9">
        <v>4.5</v>
      </c>
      <c r="G188" s="9">
        <v>160</v>
      </c>
    </row>
    <row r="189" spans="1:7" ht="18.25" customHeight="1">
      <c r="A189" s="7">
        <v>43652</v>
      </c>
      <c r="B189" s="8">
        <f t="shared" si="2"/>
        <v>7</v>
      </c>
      <c r="C189" s="9">
        <v>21</v>
      </c>
      <c r="D189" s="9">
        <v>23.7</v>
      </c>
      <c r="E189" s="9">
        <v>19.2</v>
      </c>
      <c r="F189" s="9">
        <v>14.5</v>
      </c>
      <c r="G189" s="9">
        <v>194</v>
      </c>
    </row>
    <row r="190" spans="1:7" ht="18.25" customHeight="1">
      <c r="A190" s="7">
        <v>43653</v>
      </c>
      <c r="B190" s="8">
        <f t="shared" si="2"/>
        <v>1</v>
      </c>
      <c r="C190" s="9">
        <v>19.2</v>
      </c>
      <c r="D190" s="9">
        <v>20.8</v>
      </c>
      <c r="E190" s="9">
        <v>17.899999999999999</v>
      </c>
      <c r="F190" s="9">
        <v>22.5</v>
      </c>
      <c r="G190" s="9">
        <v>214</v>
      </c>
    </row>
    <row r="191" spans="1:7" ht="18.25" customHeight="1">
      <c r="A191" s="7">
        <v>43654</v>
      </c>
      <c r="B191" s="8">
        <f t="shared" si="2"/>
        <v>2</v>
      </c>
      <c r="C191" s="9">
        <v>20.3</v>
      </c>
      <c r="D191" s="9">
        <v>24.8</v>
      </c>
      <c r="E191" s="9">
        <v>17.7</v>
      </c>
      <c r="F191" s="9">
        <v>0</v>
      </c>
      <c r="G191" s="9">
        <v>146</v>
      </c>
    </row>
    <row r="192" spans="1:7" ht="18.25" customHeight="1">
      <c r="A192" s="7">
        <v>43655</v>
      </c>
      <c r="B192" s="8">
        <f t="shared" si="2"/>
        <v>3</v>
      </c>
      <c r="C192" s="9">
        <v>19.7</v>
      </c>
      <c r="D192" s="9">
        <v>21.8</v>
      </c>
      <c r="E192" s="9">
        <v>18.5</v>
      </c>
      <c r="F192" s="9">
        <v>0</v>
      </c>
      <c r="G192" s="9">
        <v>165</v>
      </c>
    </row>
    <row r="193" spans="1:7" ht="18.25" customHeight="1">
      <c r="A193" s="7">
        <v>43656</v>
      </c>
      <c r="B193" s="8">
        <f t="shared" si="2"/>
        <v>4</v>
      </c>
      <c r="C193" s="9">
        <v>21</v>
      </c>
      <c r="D193" s="9">
        <v>24.8</v>
      </c>
      <c r="E193" s="9">
        <v>18.5</v>
      </c>
      <c r="F193" s="9">
        <v>0</v>
      </c>
      <c r="G193" s="9">
        <v>197</v>
      </c>
    </row>
    <row r="194" spans="1:7" ht="18.25" customHeight="1">
      <c r="A194" s="7">
        <v>43657</v>
      </c>
      <c r="B194" s="8">
        <f t="shared" si="2"/>
        <v>5</v>
      </c>
      <c r="C194" s="9">
        <v>19.899999999999999</v>
      </c>
      <c r="D194" s="9">
        <v>23.6</v>
      </c>
      <c r="E194" s="9">
        <v>17.899999999999999</v>
      </c>
      <c r="F194" s="9">
        <v>2</v>
      </c>
      <c r="G194" s="9">
        <v>163</v>
      </c>
    </row>
    <row r="195" spans="1:7" ht="18.25" customHeight="1">
      <c r="A195" s="7">
        <v>43658</v>
      </c>
      <c r="B195" s="8">
        <f t="shared" ref="B195:B258" si="3">WEEKDAY($A195)</f>
        <v>6</v>
      </c>
      <c r="C195" s="9">
        <v>20.2</v>
      </c>
      <c r="D195" s="9">
        <v>21.9</v>
      </c>
      <c r="E195" s="9">
        <v>18.2</v>
      </c>
      <c r="F195" s="9">
        <v>12.5</v>
      </c>
      <c r="G195" s="9">
        <v>151</v>
      </c>
    </row>
    <row r="196" spans="1:7" ht="18.25" customHeight="1">
      <c r="A196" s="7">
        <v>43659</v>
      </c>
      <c r="B196" s="8">
        <f t="shared" si="3"/>
        <v>7</v>
      </c>
      <c r="C196" s="9">
        <v>23.4</v>
      </c>
      <c r="D196" s="9">
        <v>27.3</v>
      </c>
      <c r="E196" s="9">
        <v>20</v>
      </c>
      <c r="F196" s="9">
        <v>0.5</v>
      </c>
      <c r="G196" s="9">
        <v>202</v>
      </c>
    </row>
    <row r="197" spans="1:7" ht="18.25" customHeight="1">
      <c r="A197" s="7">
        <v>43660</v>
      </c>
      <c r="B197" s="8">
        <f t="shared" si="3"/>
        <v>1</v>
      </c>
      <c r="C197" s="9">
        <v>21.3</v>
      </c>
      <c r="D197" s="9">
        <v>22.5</v>
      </c>
      <c r="E197" s="9">
        <v>20.2</v>
      </c>
      <c r="F197" s="9">
        <v>39</v>
      </c>
      <c r="G197" s="9">
        <v>225</v>
      </c>
    </row>
    <row r="198" spans="1:7" ht="18.25" customHeight="1">
      <c r="A198" s="7">
        <v>43661</v>
      </c>
      <c r="B198" s="8">
        <f t="shared" si="3"/>
        <v>2</v>
      </c>
      <c r="C198" s="9">
        <v>21.3</v>
      </c>
      <c r="D198" s="9">
        <v>25</v>
      </c>
      <c r="E198" s="9">
        <v>19.399999999999999</v>
      </c>
      <c r="F198" s="9">
        <v>7</v>
      </c>
      <c r="G198" s="9">
        <v>133</v>
      </c>
    </row>
    <row r="199" spans="1:7" ht="18.25" customHeight="1">
      <c r="A199" s="7">
        <v>43662</v>
      </c>
      <c r="B199" s="8">
        <f t="shared" si="3"/>
        <v>3</v>
      </c>
      <c r="C199" s="9">
        <v>20.5</v>
      </c>
      <c r="D199" s="9">
        <v>22.1</v>
      </c>
      <c r="E199" s="9">
        <v>19</v>
      </c>
      <c r="F199" s="9">
        <v>33.5</v>
      </c>
      <c r="G199" s="9">
        <v>138</v>
      </c>
    </row>
    <row r="200" spans="1:7" ht="18.25" customHeight="1">
      <c r="A200" s="7">
        <v>43663</v>
      </c>
      <c r="B200" s="8">
        <f t="shared" si="3"/>
        <v>4</v>
      </c>
      <c r="C200" s="9">
        <v>23.9</v>
      </c>
      <c r="D200" s="9">
        <v>28.7</v>
      </c>
      <c r="E200" s="9">
        <v>20.3</v>
      </c>
      <c r="F200" s="9">
        <v>0.5</v>
      </c>
      <c r="G200" s="9">
        <v>182</v>
      </c>
    </row>
    <row r="201" spans="1:7" ht="18.25" customHeight="1">
      <c r="A201" s="7">
        <v>43664</v>
      </c>
      <c r="B201" s="8">
        <f t="shared" si="3"/>
        <v>5</v>
      </c>
      <c r="C201" s="9">
        <v>25.6</v>
      </c>
      <c r="D201" s="9">
        <v>29.7</v>
      </c>
      <c r="E201" s="9">
        <v>22.2</v>
      </c>
      <c r="F201" s="9">
        <v>9.5</v>
      </c>
      <c r="G201" s="9">
        <v>165</v>
      </c>
    </row>
    <row r="202" spans="1:7" ht="18.25" customHeight="1">
      <c r="A202" s="7">
        <v>43665</v>
      </c>
      <c r="B202" s="8">
        <f t="shared" si="3"/>
        <v>6</v>
      </c>
      <c r="C202" s="9">
        <v>26.7</v>
      </c>
      <c r="D202" s="9">
        <v>31.4</v>
      </c>
      <c r="E202" s="9">
        <v>23</v>
      </c>
      <c r="F202" s="9">
        <v>3.5</v>
      </c>
      <c r="G202" s="9">
        <v>167</v>
      </c>
    </row>
    <row r="203" spans="1:7" ht="18.25" customHeight="1">
      <c r="A203" s="7">
        <v>43666</v>
      </c>
      <c r="B203" s="8">
        <f t="shared" si="3"/>
        <v>7</v>
      </c>
      <c r="C203" s="9">
        <v>26.5</v>
      </c>
      <c r="D203" s="9">
        <v>29.5</v>
      </c>
      <c r="E203" s="9">
        <v>24.4</v>
      </c>
      <c r="F203" s="9">
        <v>0</v>
      </c>
      <c r="G203" s="9">
        <v>230</v>
      </c>
    </row>
    <row r="204" spans="1:7" ht="18.25" customHeight="1">
      <c r="A204" s="7">
        <v>43667</v>
      </c>
      <c r="B204" s="8">
        <f t="shared" si="3"/>
        <v>1</v>
      </c>
      <c r="C204" s="9">
        <v>25</v>
      </c>
      <c r="D204" s="9">
        <v>28.2</v>
      </c>
      <c r="E204" s="9">
        <v>22.7</v>
      </c>
      <c r="F204" s="9">
        <v>0</v>
      </c>
      <c r="G204" s="9">
        <v>250</v>
      </c>
    </row>
    <row r="205" spans="1:7" ht="18.25" customHeight="1">
      <c r="A205" s="7">
        <v>43668</v>
      </c>
      <c r="B205" s="8">
        <f t="shared" si="3"/>
        <v>2</v>
      </c>
      <c r="C205" s="9">
        <v>22.7</v>
      </c>
      <c r="D205" s="9">
        <v>24</v>
      </c>
      <c r="E205" s="9">
        <v>21.6</v>
      </c>
      <c r="F205" s="9">
        <v>0.5</v>
      </c>
      <c r="G205" s="9">
        <v>148</v>
      </c>
    </row>
    <row r="206" spans="1:7" ht="18.25" customHeight="1">
      <c r="A206" s="7">
        <v>43669</v>
      </c>
      <c r="B206" s="8">
        <f t="shared" si="3"/>
        <v>3</v>
      </c>
      <c r="C206" s="9">
        <v>24.5</v>
      </c>
      <c r="D206" s="9">
        <v>29.3</v>
      </c>
      <c r="E206" s="9">
        <v>22.4</v>
      </c>
      <c r="F206" s="9">
        <v>4</v>
      </c>
      <c r="G206" s="9">
        <v>169</v>
      </c>
    </row>
    <row r="207" spans="1:7" ht="18.25" customHeight="1">
      <c r="A207" s="7">
        <v>43670</v>
      </c>
      <c r="B207" s="8">
        <f t="shared" si="3"/>
        <v>4</v>
      </c>
      <c r="C207" s="9">
        <v>26.8</v>
      </c>
      <c r="D207" s="9">
        <v>31.6</v>
      </c>
      <c r="E207" s="9">
        <v>23.7</v>
      </c>
      <c r="F207" s="9">
        <v>6</v>
      </c>
      <c r="G207" s="9">
        <v>198</v>
      </c>
    </row>
    <row r="208" spans="1:7" ht="18.25" customHeight="1">
      <c r="A208" s="7">
        <v>43671</v>
      </c>
      <c r="B208" s="8">
        <f t="shared" si="3"/>
        <v>5</v>
      </c>
      <c r="C208" s="9">
        <v>28</v>
      </c>
      <c r="D208" s="9">
        <v>32.4</v>
      </c>
      <c r="E208" s="9">
        <v>24.4</v>
      </c>
      <c r="F208" s="9">
        <v>0</v>
      </c>
      <c r="G208" s="9">
        <v>192</v>
      </c>
    </row>
    <row r="209" spans="1:7" ht="18.25" customHeight="1">
      <c r="A209" s="7">
        <v>43672</v>
      </c>
      <c r="B209" s="8">
        <f t="shared" si="3"/>
        <v>6</v>
      </c>
      <c r="C209" s="9">
        <v>28.5</v>
      </c>
      <c r="D209" s="9">
        <v>33.1</v>
      </c>
      <c r="E209" s="9">
        <v>25.6</v>
      </c>
      <c r="F209" s="9">
        <v>0.5</v>
      </c>
      <c r="G209" s="9">
        <v>184</v>
      </c>
    </row>
    <row r="210" spans="1:7" ht="18.25" customHeight="1">
      <c r="A210" s="7">
        <v>43673</v>
      </c>
      <c r="B210" s="8">
        <f t="shared" si="3"/>
        <v>7</v>
      </c>
      <c r="C210" s="9">
        <v>28</v>
      </c>
      <c r="D210" s="9">
        <v>31.4</v>
      </c>
      <c r="E210" s="9">
        <v>25.1</v>
      </c>
      <c r="F210" s="9">
        <v>4</v>
      </c>
      <c r="G210" s="9">
        <v>230</v>
      </c>
    </row>
    <row r="211" spans="1:7" ht="18.25" customHeight="1">
      <c r="A211" s="7">
        <v>43674</v>
      </c>
      <c r="B211" s="8">
        <f t="shared" si="3"/>
        <v>1</v>
      </c>
      <c r="C211" s="9">
        <v>27.7</v>
      </c>
      <c r="D211" s="9">
        <v>32.299999999999997</v>
      </c>
      <c r="E211" s="9">
        <v>25</v>
      </c>
      <c r="F211" s="9">
        <v>15</v>
      </c>
      <c r="G211" s="9">
        <v>267</v>
      </c>
    </row>
    <row r="212" spans="1:7" ht="18.25" customHeight="1">
      <c r="A212" s="7">
        <v>43675</v>
      </c>
      <c r="B212" s="8">
        <f t="shared" si="3"/>
        <v>2</v>
      </c>
      <c r="C212" s="9">
        <v>29</v>
      </c>
      <c r="D212" s="9">
        <v>33.700000000000003</v>
      </c>
      <c r="E212" s="9">
        <v>25.3</v>
      </c>
      <c r="F212" s="9">
        <v>0</v>
      </c>
      <c r="G212" s="9">
        <v>173</v>
      </c>
    </row>
    <row r="213" spans="1:7" ht="18.25" customHeight="1">
      <c r="A213" s="7">
        <v>43676</v>
      </c>
      <c r="B213" s="8">
        <f t="shared" si="3"/>
        <v>3</v>
      </c>
      <c r="C213" s="9">
        <v>29.5</v>
      </c>
      <c r="D213" s="9">
        <v>33.6</v>
      </c>
      <c r="E213" s="9">
        <v>26</v>
      </c>
      <c r="F213" s="9">
        <v>0</v>
      </c>
      <c r="G213" s="9">
        <v>190</v>
      </c>
    </row>
    <row r="214" spans="1:7" ht="18.25" customHeight="1">
      <c r="A214" s="7">
        <v>43677</v>
      </c>
      <c r="B214" s="8">
        <f t="shared" si="3"/>
        <v>4</v>
      </c>
      <c r="C214" s="9">
        <v>30</v>
      </c>
      <c r="D214" s="9">
        <v>34.6</v>
      </c>
      <c r="E214" s="9">
        <v>26.5</v>
      </c>
      <c r="F214" s="9">
        <v>0</v>
      </c>
      <c r="G214" s="9">
        <v>215</v>
      </c>
    </row>
    <row r="215" spans="1:7" ht="18.25" customHeight="1">
      <c r="A215" s="7">
        <v>43678</v>
      </c>
      <c r="B215" s="8">
        <f t="shared" si="3"/>
        <v>5</v>
      </c>
      <c r="C215" s="9">
        <v>30.5</v>
      </c>
      <c r="D215" s="9">
        <v>35</v>
      </c>
      <c r="E215" s="9">
        <v>26.3</v>
      </c>
      <c r="F215" s="9">
        <v>0</v>
      </c>
      <c r="G215" s="9">
        <v>203</v>
      </c>
    </row>
    <row r="216" spans="1:7" ht="18.25" customHeight="1">
      <c r="A216" s="7">
        <v>43679</v>
      </c>
      <c r="B216" s="8">
        <f t="shared" si="3"/>
        <v>6</v>
      </c>
      <c r="C216" s="9">
        <v>30.2</v>
      </c>
      <c r="D216" s="9">
        <v>35.1</v>
      </c>
      <c r="E216" s="9">
        <v>27.1</v>
      </c>
      <c r="F216" s="9">
        <v>0</v>
      </c>
      <c r="G216" s="9">
        <v>189</v>
      </c>
    </row>
    <row r="217" spans="1:7" ht="18.25" customHeight="1">
      <c r="A217" s="7">
        <v>43680</v>
      </c>
      <c r="B217" s="8">
        <f t="shared" si="3"/>
        <v>7</v>
      </c>
      <c r="C217" s="9">
        <v>29.4</v>
      </c>
      <c r="D217" s="9">
        <v>33.700000000000003</v>
      </c>
      <c r="E217" s="9">
        <v>25.7</v>
      </c>
      <c r="F217" s="9">
        <v>0</v>
      </c>
      <c r="G217" s="9">
        <v>252</v>
      </c>
    </row>
    <row r="218" spans="1:7" ht="18.25" customHeight="1">
      <c r="A218" s="7">
        <v>43681</v>
      </c>
      <c r="B218" s="8">
        <f t="shared" si="3"/>
        <v>1</v>
      </c>
      <c r="C218" s="9">
        <v>29.4</v>
      </c>
      <c r="D218" s="9">
        <v>34.299999999999997</v>
      </c>
      <c r="E218" s="9">
        <v>25.3</v>
      </c>
      <c r="F218" s="9">
        <v>0</v>
      </c>
      <c r="G218" s="9">
        <v>269</v>
      </c>
    </row>
    <row r="219" spans="1:7" ht="18.25" customHeight="1">
      <c r="A219" s="7">
        <v>43682</v>
      </c>
      <c r="B219" s="8">
        <f t="shared" si="3"/>
        <v>2</v>
      </c>
      <c r="C219" s="9">
        <v>29.8</v>
      </c>
      <c r="D219" s="9">
        <v>34.9</v>
      </c>
      <c r="E219" s="9">
        <v>25.1</v>
      </c>
      <c r="F219" s="9">
        <v>0</v>
      </c>
      <c r="G219" s="9">
        <v>165</v>
      </c>
    </row>
    <row r="220" spans="1:7" ht="18.25" customHeight="1">
      <c r="A220" s="7">
        <v>43683</v>
      </c>
      <c r="B220" s="8">
        <f t="shared" si="3"/>
        <v>3</v>
      </c>
      <c r="C220" s="9">
        <v>30.3</v>
      </c>
      <c r="D220" s="9">
        <v>35</v>
      </c>
      <c r="E220" s="9">
        <v>27.5</v>
      </c>
      <c r="F220" s="9">
        <v>0</v>
      </c>
      <c r="G220" s="9">
        <v>190</v>
      </c>
    </row>
    <row r="221" spans="1:7" ht="18.25" customHeight="1">
      <c r="A221" s="7">
        <v>43684</v>
      </c>
      <c r="B221" s="8">
        <f t="shared" si="3"/>
        <v>4</v>
      </c>
      <c r="C221" s="9">
        <v>30.4</v>
      </c>
      <c r="D221" s="9">
        <v>35.6</v>
      </c>
      <c r="E221" s="9">
        <v>26.7</v>
      </c>
      <c r="F221" s="9">
        <v>0</v>
      </c>
      <c r="G221" s="9">
        <v>223</v>
      </c>
    </row>
    <row r="222" spans="1:7" ht="18.25" customHeight="1">
      <c r="A222" s="7">
        <v>43685</v>
      </c>
      <c r="B222" s="8">
        <f t="shared" si="3"/>
        <v>5</v>
      </c>
      <c r="C222" s="9">
        <v>29.9</v>
      </c>
      <c r="D222" s="9">
        <v>35.5</v>
      </c>
      <c r="E222" s="9">
        <v>26</v>
      </c>
      <c r="F222" s="9">
        <v>0</v>
      </c>
      <c r="G222" s="9">
        <v>186</v>
      </c>
    </row>
    <row r="223" spans="1:7" ht="18.25" customHeight="1">
      <c r="A223" s="7">
        <v>43686</v>
      </c>
      <c r="B223" s="8">
        <f t="shared" si="3"/>
        <v>6</v>
      </c>
      <c r="C223" s="9">
        <v>30.1</v>
      </c>
      <c r="D223" s="9">
        <v>35.6</v>
      </c>
      <c r="E223" s="9">
        <v>26.2</v>
      </c>
      <c r="F223" s="9">
        <v>0</v>
      </c>
      <c r="G223" s="9">
        <v>187</v>
      </c>
    </row>
    <row r="224" spans="1:7" ht="18.25" customHeight="1">
      <c r="A224" s="7">
        <v>43687</v>
      </c>
      <c r="B224" s="8">
        <f t="shared" si="3"/>
        <v>7</v>
      </c>
      <c r="C224" s="9">
        <v>29.6</v>
      </c>
      <c r="D224" s="9">
        <v>34.4</v>
      </c>
      <c r="E224" s="9">
        <v>25.7</v>
      </c>
      <c r="F224" s="9">
        <v>0</v>
      </c>
      <c r="G224" s="9">
        <v>239</v>
      </c>
    </row>
    <row r="225" spans="1:7" ht="18.25" customHeight="1">
      <c r="A225" s="7">
        <v>43688</v>
      </c>
      <c r="B225" s="8">
        <f t="shared" si="3"/>
        <v>1</v>
      </c>
      <c r="C225" s="9">
        <v>29.4</v>
      </c>
      <c r="D225" s="9">
        <v>35.6</v>
      </c>
      <c r="E225" s="9">
        <v>25.3</v>
      </c>
      <c r="F225" s="9">
        <v>0</v>
      </c>
      <c r="G225" s="9">
        <v>276</v>
      </c>
    </row>
    <row r="226" spans="1:7" ht="18.25" customHeight="1">
      <c r="A226" s="7">
        <v>43689</v>
      </c>
      <c r="B226" s="8">
        <f t="shared" si="3"/>
        <v>2</v>
      </c>
      <c r="C226" s="9">
        <v>28.8</v>
      </c>
      <c r="D226" s="9">
        <v>33.200000000000003</v>
      </c>
      <c r="E226" s="9">
        <v>25.6</v>
      </c>
      <c r="F226" s="9">
        <v>0.5</v>
      </c>
      <c r="G226" s="9">
        <v>161</v>
      </c>
    </row>
    <row r="227" spans="1:7" ht="18.25" customHeight="1">
      <c r="A227" s="7">
        <v>43690</v>
      </c>
      <c r="B227" s="8">
        <f t="shared" si="3"/>
        <v>3</v>
      </c>
      <c r="C227" s="9">
        <v>29.3</v>
      </c>
      <c r="D227" s="9">
        <v>35.5</v>
      </c>
      <c r="E227" s="9">
        <v>26.9</v>
      </c>
      <c r="F227" s="9">
        <v>0</v>
      </c>
      <c r="G227" s="9">
        <v>184</v>
      </c>
    </row>
    <row r="228" spans="1:7" ht="18.25" customHeight="1">
      <c r="A228" s="7">
        <v>43691</v>
      </c>
      <c r="B228" s="8">
        <f t="shared" si="3"/>
        <v>4</v>
      </c>
      <c r="C228" s="9">
        <v>29.2</v>
      </c>
      <c r="D228" s="9">
        <v>32.4</v>
      </c>
      <c r="E228" s="9">
        <v>27.1</v>
      </c>
      <c r="F228" s="9">
        <v>8.5</v>
      </c>
      <c r="G228" s="9">
        <v>215</v>
      </c>
    </row>
    <row r="229" spans="1:7" ht="18.25" customHeight="1">
      <c r="A229" s="7">
        <v>43692</v>
      </c>
      <c r="B229" s="8">
        <f t="shared" si="3"/>
        <v>5</v>
      </c>
      <c r="C229" s="9">
        <v>29.2</v>
      </c>
      <c r="D229" s="9">
        <v>32.6</v>
      </c>
      <c r="E229" s="9">
        <v>25.9</v>
      </c>
      <c r="F229" s="9">
        <v>20</v>
      </c>
      <c r="G229" s="9">
        <v>166</v>
      </c>
    </row>
    <row r="230" spans="1:7" ht="18.25" customHeight="1">
      <c r="A230" s="7">
        <v>43693</v>
      </c>
      <c r="B230" s="8">
        <f t="shared" si="3"/>
        <v>6</v>
      </c>
      <c r="C230" s="9">
        <v>29</v>
      </c>
      <c r="D230" s="9">
        <v>31.6</v>
      </c>
      <c r="E230" s="9">
        <v>28</v>
      </c>
      <c r="F230" s="9">
        <v>0</v>
      </c>
      <c r="G230" s="9">
        <v>198</v>
      </c>
    </row>
    <row r="231" spans="1:7" ht="18.25" customHeight="1">
      <c r="A231" s="7">
        <v>43694</v>
      </c>
      <c r="B231" s="8">
        <f t="shared" si="3"/>
        <v>7</v>
      </c>
      <c r="C231" s="9">
        <v>30.3</v>
      </c>
      <c r="D231" s="9">
        <v>35.5</v>
      </c>
      <c r="E231" s="9">
        <v>27.3</v>
      </c>
      <c r="F231" s="9">
        <v>0</v>
      </c>
      <c r="G231" s="9">
        <v>242</v>
      </c>
    </row>
    <row r="232" spans="1:7" ht="18.25" customHeight="1">
      <c r="A232" s="7">
        <v>43695</v>
      </c>
      <c r="B232" s="8">
        <f t="shared" si="3"/>
        <v>1</v>
      </c>
      <c r="C232" s="9">
        <v>30.1</v>
      </c>
      <c r="D232" s="9">
        <v>35.200000000000003</v>
      </c>
      <c r="E232" s="9">
        <v>26.5</v>
      </c>
      <c r="F232" s="9">
        <v>0</v>
      </c>
      <c r="G232" s="9">
        <v>291</v>
      </c>
    </row>
    <row r="233" spans="1:7" ht="18.25" customHeight="1">
      <c r="A233" s="7">
        <v>43696</v>
      </c>
      <c r="B233" s="8">
        <f t="shared" si="3"/>
        <v>2</v>
      </c>
      <c r="C233" s="9">
        <v>28.1</v>
      </c>
      <c r="D233" s="9">
        <v>32.200000000000003</v>
      </c>
      <c r="E233" s="9">
        <v>25.7</v>
      </c>
      <c r="F233" s="9">
        <v>0.5</v>
      </c>
      <c r="G233" s="9">
        <v>168</v>
      </c>
    </row>
    <row r="234" spans="1:7" ht="18.25" customHeight="1">
      <c r="A234" s="7">
        <v>43697</v>
      </c>
      <c r="B234" s="8">
        <f t="shared" si="3"/>
        <v>3</v>
      </c>
      <c r="C234" s="9">
        <v>26.5</v>
      </c>
      <c r="D234" s="9">
        <v>31.1</v>
      </c>
      <c r="E234" s="9">
        <v>24.1</v>
      </c>
      <c r="F234" s="9">
        <v>13</v>
      </c>
      <c r="G234" s="9">
        <v>182</v>
      </c>
    </row>
    <row r="235" spans="1:7" ht="18.25" customHeight="1">
      <c r="A235" s="7">
        <v>43698</v>
      </c>
      <c r="B235" s="8">
        <f t="shared" si="3"/>
        <v>4</v>
      </c>
      <c r="C235" s="9">
        <v>27</v>
      </c>
      <c r="D235" s="9">
        <v>31.4</v>
      </c>
      <c r="E235" s="9">
        <v>23.6</v>
      </c>
      <c r="F235" s="9">
        <v>3</v>
      </c>
      <c r="G235" s="9">
        <v>210</v>
      </c>
    </row>
    <row r="236" spans="1:7" ht="18.25" customHeight="1">
      <c r="A236" s="7">
        <v>43699</v>
      </c>
      <c r="B236" s="8">
        <f t="shared" si="3"/>
        <v>5</v>
      </c>
      <c r="C236" s="9">
        <v>26</v>
      </c>
      <c r="D236" s="9">
        <v>29.5</v>
      </c>
      <c r="E236" s="9">
        <v>23.2</v>
      </c>
      <c r="F236" s="9">
        <v>20</v>
      </c>
      <c r="G236" s="9">
        <v>169</v>
      </c>
    </row>
    <row r="237" spans="1:7" ht="18.25" customHeight="1">
      <c r="A237" s="7">
        <v>43700</v>
      </c>
      <c r="B237" s="8">
        <f t="shared" si="3"/>
        <v>6</v>
      </c>
      <c r="C237" s="9">
        <v>26.3</v>
      </c>
      <c r="D237" s="9">
        <v>28.5</v>
      </c>
      <c r="E237" s="9">
        <v>24</v>
      </c>
      <c r="F237" s="9">
        <v>4.5</v>
      </c>
      <c r="G237" s="9">
        <v>176</v>
      </c>
    </row>
    <row r="238" spans="1:7" ht="18.25" customHeight="1">
      <c r="A238" s="7">
        <v>43701</v>
      </c>
      <c r="B238" s="8">
        <f t="shared" si="3"/>
        <v>7</v>
      </c>
      <c r="C238" s="9">
        <v>27.3</v>
      </c>
      <c r="D238" s="9">
        <v>31.4</v>
      </c>
      <c r="E238" s="9">
        <v>24</v>
      </c>
      <c r="F238" s="9">
        <v>0</v>
      </c>
      <c r="G238" s="9">
        <v>236</v>
      </c>
    </row>
    <row r="239" spans="1:7" ht="18.25" customHeight="1">
      <c r="A239" s="7">
        <v>43702</v>
      </c>
      <c r="B239" s="8">
        <f t="shared" si="3"/>
        <v>1</v>
      </c>
      <c r="C239" s="9">
        <v>25.8</v>
      </c>
      <c r="D239" s="9">
        <v>31.1</v>
      </c>
      <c r="E239" s="9">
        <v>20.7</v>
      </c>
      <c r="F239" s="9">
        <v>15</v>
      </c>
      <c r="G239" s="9">
        <v>259</v>
      </c>
    </row>
    <row r="240" spans="1:7" ht="18.25" customHeight="1">
      <c r="A240" s="7">
        <v>43703</v>
      </c>
      <c r="B240" s="8">
        <f t="shared" si="3"/>
        <v>2</v>
      </c>
      <c r="C240" s="9">
        <v>25.3</v>
      </c>
      <c r="D240" s="9">
        <v>28.5</v>
      </c>
      <c r="E240" s="9">
        <v>22.9</v>
      </c>
      <c r="F240" s="9">
        <v>0</v>
      </c>
      <c r="G240" s="9">
        <v>158</v>
      </c>
    </row>
    <row r="241" spans="1:7" ht="18.25" customHeight="1">
      <c r="A241" s="7">
        <v>43704</v>
      </c>
      <c r="B241" s="8">
        <f t="shared" si="3"/>
        <v>3</v>
      </c>
      <c r="C241" s="9">
        <v>25.3</v>
      </c>
      <c r="D241" s="9">
        <v>29.4</v>
      </c>
      <c r="E241" s="9">
        <v>22.8</v>
      </c>
      <c r="F241" s="9">
        <v>6</v>
      </c>
      <c r="G241" s="9">
        <v>182</v>
      </c>
    </row>
    <row r="242" spans="1:7" ht="18.25" customHeight="1">
      <c r="A242" s="7">
        <v>43705</v>
      </c>
      <c r="B242" s="8">
        <f t="shared" si="3"/>
        <v>4</v>
      </c>
      <c r="C242" s="9">
        <v>25.6</v>
      </c>
      <c r="D242" s="9">
        <v>28.1</v>
      </c>
      <c r="E242" s="9">
        <v>23.2</v>
      </c>
      <c r="F242" s="9">
        <v>7</v>
      </c>
      <c r="G242" s="9">
        <v>194</v>
      </c>
    </row>
    <row r="243" spans="1:7" ht="18.25" customHeight="1">
      <c r="A243" s="7">
        <v>43706</v>
      </c>
      <c r="B243" s="8">
        <f t="shared" si="3"/>
        <v>5</v>
      </c>
      <c r="C243" s="9">
        <v>28.9</v>
      </c>
      <c r="D243" s="9">
        <v>34.6</v>
      </c>
      <c r="E243" s="9">
        <v>24.7</v>
      </c>
      <c r="F243" s="9">
        <v>0</v>
      </c>
      <c r="G243" s="9">
        <v>182</v>
      </c>
    </row>
    <row r="244" spans="1:7" ht="18.25" customHeight="1">
      <c r="A244" s="7">
        <v>43707</v>
      </c>
      <c r="B244" s="8">
        <f t="shared" si="3"/>
        <v>6</v>
      </c>
      <c r="C244" s="9">
        <v>26</v>
      </c>
      <c r="D244" s="9">
        <v>28</v>
      </c>
      <c r="E244" s="9">
        <v>24.2</v>
      </c>
      <c r="F244" s="9">
        <v>12</v>
      </c>
      <c r="G244" s="9">
        <v>174</v>
      </c>
    </row>
    <row r="245" spans="1:7" ht="18.25" customHeight="1">
      <c r="A245" s="7">
        <v>43708</v>
      </c>
      <c r="B245" s="8">
        <f t="shared" si="3"/>
        <v>7</v>
      </c>
      <c r="C245" s="9">
        <v>27.3</v>
      </c>
      <c r="D245" s="9">
        <v>31.7</v>
      </c>
      <c r="E245" s="9">
        <v>24.3</v>
      </c>
      <c r="F245" s="9">
        <v>0</v>
      </c>
      <c r="G245" s="9">
        <v>223</v>
      </c>
    </row>
    <row r="246" spans="1:7" ht="18.25" customHeight="1">
      <c r="A246" s="7">
        <v>43709</v>
      </c>
      <c r="B246" s="8">
        <f t="shared" si="3"/>
        <v>1</v>
      </c>
      <c r="C246" s="9">
        <v>27.7</v>
      </c>
      <c r="D246" s="9">
        <v>32.1</v>
      </c>
      <c r="E246" s="9">
        <v>25</v>
      </c>
      <c r="F246" s="9">
        <v>0</v>
      </c>
      <c r="G246" s="9">
        <v>260</v>
      </c>
    </row>
    <row r="247" spans="1:7" ht="18.25" customHeight="1">
      <c r="A247" s="7">
        <v>43710</v>
      </c>
      <c r="B247" s="8">
        <f t="shared" si="3"/>
        <v>2</v>
      </c>
      <c r="C247" s="9">
        <v>27.6</v>
      </c>
      <c r="D247" s="9">
        <v>31.8</v>
      </c>
      <c r="E247" s="9">
        <v>24.1</v>
      </c>
      <c r="F247" s="9">
        <v>0</v>
      </c>
      <c r="G247" s="9">
        <v>163</v>
      </c>
    </row>
    <row r="248" spans="1:7" ht="18.25" customHeight="1">
      <c r="A248" s="7">
        <v>43711</v>
      </c>
      <c r="B248" s="8">
        <f t="shared" si="3"/>
        <v>3</v>
      </c>
      <c r="C248" s="9">
        <v>25.8</v>
      </c>
      <c r="D248" s="9">
        <v>28.5</v>
      </c>
      <c r="E248" s="9">
        <v>22.6</v>
      </c>
      <c r="F248" s="9">
        <v>1.5</v>
      </c>
      <c r="G248" s="9">
        <v>174</v>
      </c>
    </row>
    <row r="249" spans="1:7" ht="18.25" customHeight="1">
      <c r="A249" s="7">
        <v>43712</v>
      </c>
      <c r="B249" s="8">
        <f t="shared" si="3"/>
        <v>4</v>
      </c>
      <c r="C249" s="9">
        <v>23.7</v>
      </c>
      <c r="D249" s="9">
        <v>26.5</v>
      </c>
      <c r="E249" s="9">
        <v>22.5</v>
      </c>
      <c r="F249" s="9">
        <v>0</v>
      </c>
      <c r="G249" s="9">
        <v>198</v>
      </c>
    </row>
    <row r="250" spans="1:7" ht="18.25" customHeight="1">
      <c r="A250" s="7">
        <v>43713</v>
      </c>
      <c r="B250" s="8">
        <f t="shared" si="3"/>
        <v>5</v>
      </c>
      <c r="C250" s="9">
        <v>25.7</v>
      </c>
      <c r="D250" s="9">
        <v>29.6</v>
      </c>
      <c r="E250" s="9">
        <v>23</v>
      </c>
      <c r="F250" s="9">
        <v>0</v>
      </c>
      <c r="G250" s="9">
        <v>183</v>
      </c>
    </row>
    <row r="251" spans="1:7" ht="18.25" customHeight="1">
      <c r="A251" s="7">
        <v>43714</v>
      </c>
      <c r="B251" s="8">
        <f t="shared" si="3"/>
        <v>6</v>
      </c>
      <c r="C251" s="9">
        <v>27.9</v>
      </c>
      <c r="D251" s="9">
        <v>32.9</v>
      </c>
      <c r="E251" s="9">
        <v>23.1</v>
      </c>
      <c r="F251" s="9">
        <v>0</v>
      </c>
      <c r="G251" s="9">
        <v>196</v>
      </c>
    </row>
    <row r="252" spans="1:7" ht="18.25" customHeight="1">
      <c r="A252" s="7">
        <v>43715</v>
      </c>
      <c r="B252" s="8">
        <f t="shared" si="3"/>
        <v>7</v>
      </c>
      <c r="C252" s="9">
        <v>28.4</v>
      </c>
      <c r="D252" s="9">
        <v>33.5</v>
      </c>
      <c r="E252" s="9">
        <v>24.8</v>
      </c>
      <c r="F252" s="9">
        <v>0</v>
      </c>
      <c r="G252" s="9">
        <v>239</v>
      </c>
    </row>
    <row r="253" spans="1:7" ht="18.25" customHeight="1">
      <c r="A253" s="7">
        <v>43716</v>
      </c>
      <c r="B253" s="8">
        <f t="shared" si="3"/>
        <v>1</v>
      </c>
      <c r="C253" s="9">
        <v>29.1</v>
      </c>
      <c r="D253" s="9">
        <v>33.299999999999997</v>
      </c>
      <c r="E253" s="9">
        <v>25.3</v>
      </c>
      <c r="F253" s="9">
        <v>8.5</v>
      </c>
      <c r="G253" s="9">
        <v>242</v>
      </c>
    </row>
    <row r="254" spans="1:7" ht="18.25" customHeight="1">
      <c r="A254" s="7">
        <v>43717</v>
      </c>
      <c r="B254" s="8">
        <f t="shared" si="3"/>
        <v>2</v>
      </c>
      <c r="C254" s="9">
        <v>29</v>
      </c>
      <c r="D254" s="9">
        <v>36.200000000000003</v>
      </c>
      <c r="E254" s="9">
        <v>24.5</v>
      </c>
      <c r="F254" s="9">
        <v>119</v>
      </c>
      <c r="G254" s="9">
        <v>42</v>
      </c>
    </row>
    <row r="255" spans="1:7" ht="18.25" customHeight="1">
      <c r="A255" s="7">
        <v>43718</v>
      </c>
      <c r="B255" s="8">
        <f t="shared" si="3"/>
        <v>3</v>
      </c>
      <c r="C255" s="9">
        <v>29.9</v>
      </c>
      <c r="D255" s="9">
        <v>35.6</v>
      </c>
      <c r="E255" s="9">
        <v>25.4</v>
      </c>
      <c r="F255" s="9">
        <v>0.5</v>
      </c>
      <c r="G255" s="9">
        <v>185</v>
      </c>
    </row>
    <row r="256" spans="1:7" ht="18.25" customHeight="1">
      <c r="A256" s="7">
        <v>43719</v>
      </c>
      <c r="B256" s="8">
        <f t="shared" si="3"/>
        <v>4</v>
      </c>
      <c r="C256" s="9">
        <v>27.4</v>
      </c>
      <c r="D256" s="9">
        <v>32.299999999999997</v>
      </c>
      <c r="E256" s="9">
        <v>24.3</v>
      </c>
      <c r="F256" s="9">
        <v>7.5</v>
      </c>
      <c r="G256" s="9">
        <v>210</v>
      </c>
    </row>
    <row r="257" spans="1:7" ht="18.25" customHeight="1">
      <c r="A257" s="7">
        <v>43720</v>
      </c>
      <c r="B257" s="8">
        <f t="shared" si="3"/>
        <v>5</v>
      </c>
      <c r="C257" s="9">
        <v>25.1</v>
      </c>
      <c r="D257" s="9">
        <v>28.7</v>
      </c>
      <c r="E257" s="9">
        <v>22.7</v>
      </c>
      <c r="F257" s="9">
        <v>0</v>
      </c>
      <c r="G257" s="9">
        <v>173</v>
      </c>
    </row>
    <row r="258" spans="1:7" ht="18.25" customHeight="1">
      <c r="A258" s="7">
        <v>43721</v>
      </c>
      <c r="B258" s="8">
        <f t="shared" si="3"/>
        <v>6</v>
      </c>
      <c r="C258" s="9">
        <v>22.4</v>
      </c>
      <c r="D258" s="9">
        <v>23.6</v>
      </c>
      <c r="E258" s="9">
        <v>20.3</v>
      </c>
      <c r="F258" s="9">
        <v>0</v>
      </c>
      <c r="G258" s="9">
        <v>160</v>
      </c>
    </row>
    <row r="259" spans="1:7" ht="18.25" customHeight="1">
      <c r="A259" s="7">
        <v>43722</v>
      </c>
      <c r="B259" s="8">
        <f t="shared" ref="B259:B322" si="4">WEEKDAY($A259)</f>
        <v>7</v>
      </c>
      <c r="C259" s="9">
        <v>22.1</v>
      </c>
      <c r="D259" s="9">
        <v>25.1</v>
      </c>
      <c r="E259" s="9">
        <v>19.5</v>
      </c>
      <c r="F259" s="9">
        <v>0</v>
      </c>
      <c r="G259" s="9">
        <v>224</v>
      </c>
    </row>
    <row r="260" spans="1:7" ht="18.25" customHeight="1">
      <c r="A260" s="7">
        <v>43723</v>
      </c>
      <c r="B260" s="8">
        <f t="shared" si="4"/>
        <v>1</v>
      </c>
      <c r="C260" s="9">
        <v>25.2</v>
      </c>
      <c r="D260" s="9">
        <v>31.1</v>
      </c>
      <c r="E260" s="9">
        <v>20.3</v>
      </c>
      <c r="F260" s="9">
        <v>0.5</v>
      </c>
      <c r="G260" s="9">
        <v>276</v>
      </c>
    </row>
    <row r="261" spans="1:7" ht="18.25" customHeight="1">
      <c r="A261" s="7">
        <v>43724</v>
      </c>
      <c r="B261" s="8">
        <f t="shared" si="4"/>
        <v>2</v>
      </c>
      <c r="C261" s="9">
        <v>22.9</v>
      </c>
      <c r="D261" s="9">
        <v>25.3</v>
      </c>
      <c r="E261" s="9">
        <v>21.4</v>
      </c>
      <c r="F261" s="9">
        <v>28.5</v>
      </c>
      <c r="G261" s="9">
        <v>122</v>
      </c>
    </row>
    <row r="262" spans="1:7" ht="18.25" customHeight="1">
      <c r="A262" s="7">
        <v>43725</v>
      </c>
      <c r="B262" s="8">
        <f t="shared" si="4"/>
        <v>3</v>
      </c>
      <c r="C262" s="9">
        <v>25.8</v>
      </c>
      <c r="D262" s="9">
        <v>31.1</v>
      </c>
      <c r="E262" s="9">
        <v>22.3</v>
      </c>
      <c r="F262" s="9">
        <v>0</v>
      </c>
      <c r="G262" s="9">
        <v>169</v>
      </c>
    </row>
    <row r="263" spans="1:7" ht="18.25" customHeight="1">
      <c r="A263" s="7">
        <v>43726</v>
      </c>
      <c r="B263" s="8">
        <f t="shared" si="4"/>
        <v>4</v>
      </c>
      <c r="C263" s="9">
        <v>21.2</v>
      </c>
      <c r="D263" s="9">
        <v>24.8</v>
      </c>
      <c r="E263" s="9">
        <v>18.399999999999999</v>
      </c>
      <c r="F263" s="9">
        <v>9.5</v>
      </c>
      <c r="G263" s="9">
        <v>164</v>
      </c>
    </row>
    <row r="264" spans="1:7" ht="18.25" customHeight="1">
      <c r="A264" s="7">
        <v>43727</v>
      </c>
      <c r="B264" s="8">
        <f t="shared" si="4"/>
        <v>5</v>
      </c>
      <c r="C264" s="9">
        <v>22.1</v>
      </c>
      <c r="D264" s="9">
        <v>27.7</v>
      </c>
      <c r="E264" s="9">
        <v>17.100000000000001</v>
      </c>
      <c r="F264" s="9">
        <v>0</v>
      </c>
      <c r="G264" s="9">
        <v>172</v>
      </c>
    </row>
    <row r="265" spans="1:7" ht="18.25" customHeight="1">
      <c r="A265" s="7">
        <v>43728</v>
      </c>
      <c r="B265" s="8">
        <f t="shared" si="4"/>
        <v>6</v>
      </c>
      <c r="C265" s="9">
        <v>22.8</v>
      </c>
      <c r="D265" s="9">
        <v>27.3</v>
      </c>
      <c r="E265" s="9">
        <v>19.7</v>
      </c>
      <c r="F265" s="9">
        <v>0</v>
      </c>
      <c r="G265" s="9">
        <v>158</v>
      </c>
    </row>
    <row r="266" spans="1:7" ht="18.25" customHeight="1">
      <c r="A266" s="7">
        <v>43729</v>
      </c>
      <c r="B266" s="8">
        <f t="shared" si="4"/>
        <v>7</v>
      </c>
      <c r="C266" s="9">
        <v>21.8</v>
      </c>
      <c r="D266" s="9">
        <v>24.1</v>
      </c>
      <c r="E266" s="9">
        <v>19.899999999999999</v>
      </c>
      <c r="F266" s="9">
        <v>0</v>
      </c>
      <c r="G266" s="9">
        <v>210</v>
      </c>
    </row>
    <row r="267" spans="1:7" ht="18.25" customHeight="1">
      <c r="A267" s="7">
        <v>43730</v>
      </c>
      <c r="B267" s="8">
        <f t="shared" si="4"/>
        <v>1</v>
      </c>
      <c r="C267" s="9">
        <v>22.4</v>
      </c>
      <c r="D267" s="9">
        <v>28.5</v>
      </c>
      <c r="E267" s="9">
        <v>18.399999999999999</v>
      </c>
      <c r="F267" s="9">
        <v>17</v>
      </c>
      <c r="G267" s="9">
        <v>235</v>
      </c>
    </row>
    <row r="268" spans="1:7" ht="18.25" customHeight="1">
      <c r="A268" s="7">
        <v>43731</v>
      </c>
      <c r="B268" s="8">
        <f t="shared" si="4"/>
        <v>2</v>
      </c>
      <c r="C268" s="9">
        <v>26</v>
      </c>
      <c r="D268" s="9">
        <v>30.7</v>
      </c>
      <c r="E268" s="9">
        <v>20.399999999999999</v>
      </c>
      <c r="F268" s="9">
        <v>3.5</v>
      </c>
      <c r="G268" s="9">
        <v>152</v>
      </c>
    </row>
    <row r="269" spans="1:7" ht="18.25" customHeight="1">
      <c r="A269" s="7">
        <v>43732</v>
      </c>
      <c r="B269" s="8">
        <f t="shared" si="4"/>
        <v>3</v>
      </c>
      <c r="C269" s="9">
        <v>25.4</v>
      </c>
      <c r="D269" s="9">
        <v>30.9</v>
      </c>
      <c r="E269" s="9">
        <v>22.6</v>
      </c>
      <c r="F269" s="9">
        <v>1</v>
      </c>
      <c r="G269" s="9">
        <v>180</v>
      </c>
    </row>
    <row r="270" spans="1:7" ht="18.25" customHeight="1">
      <c r="A270" s="7">
        <v>43733</v>
      </c>
      <c r="B270" s="8">
        <f t="shared" si="4"/>
        <v>4</v>
      </c>
      <c r="C270" s="9">
        <v>24.3</v>
      </c>
      <c r="D270" s="9">
        <v>28.9</v>
      </c>
      <c r="E270" s="9">
        <v>20.8</v>
      </c>
      <c r="F270" s="9">
        <v>0</v>
      </c>
      <c r="G270" s="9">
        <v>208</v>
      </c>
    </row>
    <row r="271" spans="1:7" ht="18.25" customHeight="1">
      <c r="A271" s="7">
        <v>43734</v>
      </c>
      <c r="B271" s="8">
        <f t="shared" si="4"/>
        <v>5</v>
      </c>
      <c r="C271" s="9">
        <v>22.8</v>
      </c>
      <c r="D271" s="9">
        <v>27.4</v>
      </c>
      <c r="E271" s="9">
        <v>19.600000000000001</v>
      </c>
      <c r="F271" s="9">
        <v>0</v>
      </c>
      <c r="G271" s="9">
        <v>181</v>
      </c>
    </row>
    <row r="272" spans="1:7" ht="18.25" customHeight="1">
      <c r="A272" s="7">
        <v>43735</v>
      </c>
      <c r="B272" s="8">
        <f t="shared" si="4"/>
        <v>6</v>
      </c>
      <c r="C272" s="9">
        <v>23</v>
      </c>
      <c r="D272" s="9">
        <v>28.1</v>
      </c>
      <c r="E272" s="9">
        <v>18.2</v>
      </c>
      <c r="F272" s="9">
        <v>0</v>
      </c>
      <c r="G272" s="9">
        <v>176</v>
      </c>
    </row>
    <row r="273" spans="1:7" ht="18.25" customHeight="1">
      <c r="A273" s="7">
        <v>43736</v>
      </c>
      <c r="B273" s="8">
        <f t="shared" si="4"/>
        <v>7</v>
      </c>
      <c r="C273" s="9">
        <v>24.4</v>
      </c>
      <c r="D273" s="9">
        <v>29.6</v>
      </c>
      <c r="E273" s="9">
        <v>20</v>
      </c>
      <c r="F273" s="9">
        <v>0</v>
      </c>
      <c r="G273" s="9">
        <v>213</v>
      </c>
    </row>
    <row r="274" spans="1:7" ht="18.25" customHeight="1">
      <c r="A274" s="7">
        <v>43737</v>
      </c>
      <c r="B274" s="8">
        <f t="shared" si="4"/>
        <v>1</v>
      </c>
      <c r="C274" s="9">
        <v>24.7</v>
      </c>
      <c r="D274" s="9">
        <v>27.7</v>
      </c>
      <c r="E274" s="9">
        <v>22.4</v>
      </c>
      <c r="F274" s="9">
        <v>0</v>
      </c>
      <c r="G274" s="9">
        <v>256</v>
      </c>
    </row>
    <row r="275" spans="1:7" ht="18.25" customHeight="1">
      <c r="A275" s="7">
        <v>43738</v>
      </c>
      <c r="B275" s="8">
        <f t="shared" si="4"/>
        <v>2</v>
      </c>
      <c r="C275" s="9">
        <v>25.2</v>
      </c>
      <c r="D275" s="9">
        <v>29.7</v>
      </c>
      <c r="E275" s="9">
        <v>21.4</v>
      </c>
      <c r="F275" s="9">
        <v>0</v>
      </c>
      <c r="G275" s="9">
        <v>162</v>
      </c>
    </row>
    <row r="276" spans="1:7" ht="18.25" customHeight="1">
      <c r="A276" s="7">
        <v>43739</v>
      </c>
      <c r="B276" s="8">
        <f t="shared" si="4"/>
        <v>3</v>
      </c>
      <c r="C276" s="9">
        <v>24.5</v>
      </c>
      <c r="D276" s="9">
        <v>30.1</v>
      </c>
      <c r="E276" s="9">
        <v>20.9</v>
      </c>
      <c r="F276" s="9">
        <v>0</v>
      </c>
      <c r="G276" s="9">
        <v>174</v>
      </c>
    </row>
    <row r="277" spans="1:7" ht="18.25" customHeight="1">
      <c r="A277" s="7">
        <v>43740</v>
      </c>
      <c r="B277" s="8">
        <f t="shared" si="4"/>
        <v>4</v>
      </c>
      <c r="C277" s="9">
        <v>23.9</v>
      </c>
      <c r="D277" s="9">
        <v>29.6</v>
      </c>
      <c r="E277" s="9">
        <v>20.399999999999999</v>
      </c>
      <c r="F277" s="9">
        <v>0</v>
      </c>
      <c r="G277" s="9">
        <v>193</v>
      </c>
    </row>
    <row r="278" spans="1:7" ht="18.25" customHeight="1">
      <c r="A278" s="7">
        <v>43741</v>
      </c>
      <c r="B278" s="8">
        <f t="shared" si="4"/>
        <v>5</v>
      </c>
      <c r="C278" s="9">
        <v>24.5</v>
      </c>
      <c r="D278" s="9">
        <v>28.3</v>
      </c>
      <c r="E278" s="9">
        <v>20.6</v>
      </c>
      <c r="F278" s="9">
        <v>0</v>
      </c>
      <c r="G278" s="9">
        <v>171</v>
      </c>
    </row>
    <row r="279" spans="1:7" ht="18.25" customHeight="1">
      <c r="A279" s="7">
        <v>43742</v>
      </c>
      <c r="B279" s="8">
        <f t="shared" si="4"/>
        <v>6</v>
      </c>
      <c r="C279" s="9">
        <v>24.8</v>
      </c>
      <c r="D279" s="9">
        <v>29.4</v>
      </c>
      <c r="E279" s="9">
        <v>21.5</v>
      </c>
      <c r="F279" s="9">
        <v>10</v>
      </c>
      <c r="G279" s="9">
        <v>161</v>
      </c>
    </row>
    <row r="280" spans="1:7" ht="18.25" customHeight="1">
      <c r="A280" s="7">
        <v>43743</v>
      </c>
      <c r="B280" s="8">
        <f t="shared" si="4"/>
        <v>7</v>
      </c>
      <c r="C280" s="9">
        <v>26.1</v>
      </c>
      <c r="D280" s="9">
        <v>30.3</v>
      </c>
      <c r="E280" s="9">
        <v>21.5</v>
      </c>
      <c r="F280" s="9">
        <v>0</v>
      </c>
      <c r="G280" s="9">
        <v>236</v>
      </c>
    </row>
    <row r="281" spans="1:7" ht="18.25" customHeight="1">
      <c r="A281" s="7">
        <v>43744</v>
      </c>
      <c r="B281" s="8">
        <f t="shared" si="4"/>
        <v>1</v>
      </c>
      <c r="C281" s="9">
        <v>20.5</v>
      </c>
      <c r="D281" s="9">
        <v>23.3</v>
      </c>
      <c r="E281" s="9">
        <v>18.7</v>
      </c>
      <c r="F281" s="9">
        <v>5.5</v>
      </c>
      <c r="G281" s="9">
        <v>217</v>
      </c>
    </row>
    <row r="282" spans="1:7" ht="18.25" customHeight="1">
      <c r="A282" s="7">
        <v>43745</v>
      </c>
      <c r="B282" s="8">
        <f t="shared" si="4"/>
        <v>2</v>
      </c>
      <c r="C282" s="9">
        <v>20</v>
      </c>
      <c r="D282" s="9">
        <v>25</v>
      </c>
      <c r="E282" s="9">
        <v>17.3</v>
      </c>
      <c r="F282" s="9">
        <v>7</v>
      </c>
      <c r="G282" s="9">
        <v>138</v>
      </c>
    </row>
    <row r="283" spans="1:7" ht="18.25" customHeight="1">
      <c r="A283" s="7">
        <v>43746</v>
      </c>
      <c r="B283" s="8">
        <f t="shared" si="4"/>
        <v>3</v>
      </c>
      <c r="C283" s="9">
        <v>21.7</v>
      </c>
      <c r="D283" s="9">
        <v>27.1</v>
      </c>
      <c r="E283" s="9">
        <v>18.2</v>
      </c>
      <c r="F283" s="9">
        <v>5.5</v>
      </c>
      <c r="G283" s="9">
        <v>166</v>
      </c>
    </row>
    <row r="284" spans="1:7" ht="18.25" customHeight="1">
      <c r="A284" s="7">
        <v>43747</v>
      </c>
      <c r="B284" s="8">
        <f t="shared" si="4"/>
        <v>4</v>
      </c>
      <c r="C284" s="9">
        <v>20.8</v>
      </c>
      <c r="D284" s="9">
        <v>25.1</v>
      </c>
      <c r="E284" s="9">
        <v>17</v>
      </c>
      <c r="F284" s="9">
        <v>0</v>
      </c>
      <c r="G284" s="9">
        <v>196</v>
      </c>
    </row>
    <row r="285" spans="1:7" ht="18.25" customHeight="1">
      <c r="A285" s="7">
        <v>43748</v>
      </c>
      <c r="B285" s="8">
        <f t="shared" si="4"/>
        <v>5</v>
      </c>
      <c r="C285" s="9">
        <v>19.399999999999999</v>
      </c>
      <c r="D285" s="9">
        <v>25.2</v>
      </c>
      <c r="E285" s="9">
        <v>15</v>
      </c>
      <c r="F285" s="9">
        <v>9</v>
      </c>
      <c r="G285" s="9">
        <v>154</v>
      </c>
    </row>
    <row r="286" spans="1:7" ht="18.25" customHeight="1">
      <c r="A286" s="7">
        <v>43749</v>
      </c>
      <c r="B286" s="8">
        <f t="shared" si="4"/>
        <v>6</v>
      </c>
      <c r="C286" s="9">
        <v>19.600000000000001</v>
      </c>
      <c r="D286" s="9">
        <v>21.7</v>
      </c>
      <c r="E286" s="9">
        <v>16.3</v>
      </c>
      <c r="F286" s="9">
        <v>7.5</v>
      </c>
      <c r="G286" s="9">
        <v>150</v>
      </c>
    </row>
    <row r="287" spans="1:7" ht="18.25" customHeight="1">
      <c r="A287" s="7">
        <v>43750</v>
      </c>
      <c r="B287" s="8">
        <f t="shared" si="4"/>
        <v>7</v>
      </c>
      <c r="C287" s="9">
        <v>23.3</v>
      </c>
      <c r="D287" s="9">
        <v>25.2</v>
      </c>
      <c r="E287" s="9">
        <v>20.7</v>
      </c>
      <c r="F287" s="9">
        <v>209.5</v>
      </c>
      <c r="G287" s="9">
        <v>0</v>
      </c>
    </row>
    <row r="288" spans="1:7" ht="18.25" customHeight="1">
      <c r="A288" s="7">
        <v>43751</v>
      </c>
      <c r="B288" s="8">
        <f t="shared" si="4"/>
        <v>1</v>
      </c>
      <c r="C288" s="9">
        <v>24.5</v>
      </c>
      <c r="D288" s="9">
        <v>28.5</v>
      </c>
      <c r="E288" s="9">
        <v>19.399999999999999</v>
      </c>
      <c r="F288" s="9">
        <v>0</v>
      </c>
      <c r="G288" s="9">
        <v>249</v>
      </c>
    </row>
    <row r="289" spans="1:7" ht="18.25" customHeight="1">
      <c r="A289" s="7">
        <v>43752</v>
      </c>
      <c r="B289" s="8">
        <f t="shared" si="4"/>
        <v>2</v>
      </c>
      <c r="C289" s="9">
        <v>17</v>
      </c>
      <c r="D289" s="9">
        <v>20.2</v>
      </c>
      <c r="E289" s="9">
        <v>15.4</v>
      </c>
      <c r="F289" s="9">
        <v>5</v>
      </c>
      <c r="G289" s="9">
        <v>124</v>
      </c>
    </row>
    <row r="290" spans="1:7" ht="18.25" customHeight="1">
      <c r="A290" s="7">
        <v>43753</v>
      </c>
      <c r="B290" s="8">
        <f t="shared" si="4"/>
        <v>3</v>
      </c>
      <c r="C290" s="9">
        <v>18.399999999999999</v>
      </c>
      <c r="D290" s="9">
        <v>23</v>
      </c>
      <c r="E290" s="9">
        <v>16.2</v>
      </c>
      <c r="F290" s="9">
        <v>0</v>
      </c>
      <c r="G290" s="9">
        <v>146</v>
      </c>
    </row>
    <row r="291" spans="1:7" ht="18.25" customHeight="1">
      <c r="A291" s="7">
        <v>43754</v>
      </c>
      <c r="B291" s="8">
        <f t="shared" si="4"/>
        <v>4</v>
      </c>
      <c r="C291" s="9">
        <v>16.100000000000001</v>
      </c>
      <c r="D291" s="9">
        <v>18.5</v>
      </c>
      <c r="E291" s="9">
        <v>14.6</v>
      </c>
      <c r="F291" s="9">
        <v>0</v>
      </c>
      <c r="G291" s="9">
        <v>170</v>
      </c>
    </row>
    <row r="292" spans="1:7" ht="18.25" customHeight="1">
      <c r="A292" s="7">
        <v>43755</v>
      </c>
      <c r="B292" s="8">
        <f t="shared" si="4"/>
        <v>5</v>
      </c>
      <c r="C292" s="9">
        <v>16.2</v>
      </c>
      <c r="D292" s="9">
        <v>18.399999999999999</v>
      </c>
      <c r="E292" s="9">
        <v>15.1</v>
      </c>
      <c r="F292" s="9">
        <v>4.5</v>
      </c>
      <c r="G292" s="9">
        <v>147</v>
      </c>
    </row>
    <row r="293" spans="1:7" ht="18.25" customHeight="1">
      <c r="A293" s="7">
        <v>43756</v>
      </c>
      <c r="B293" s="8">
        <f t="shared" si="4"/>
        <v>6</v>
      </c>
      <c r="C293" s="9">
        <v>16.5</v>
      </c>
      <c r="D293" s="9">
        <v>19.5</v>
      </c>
      <c r="E293" s="9">
        <v>14.9</v>
      </c>
      <c r="F293" s="9">
        <v>5.5</v>
      </c>
      <c r="G293" s="9">
        <v>135</v>
      </c>
    </row>
    <row r="294" spans="1:7" ht="18.25" customHeight="1">
      <c r="A294" s="7">
        <v>43757</v>
      </c>
      <c r="B294" s="8">
        <f t="shared" si="4"/>
        <v>7</v>
      </c>
      <c r="C294" s="9">
        <v>17.399999999999999</v>
      </c>
      <c r="D294" s="9">
        <v>20.2</v>
      </c>
      <c r="E294" s="9">
        <v>14.6</v>
      </c>
      <c r="F294" s="9">
        <v>53.5</v>
      </c>
      <c r="G294" s="9">
        <v>123</v>
      </c>
    </row>
    <row r="295" spans="1:7" ht="18.25" customHeight="1">
      <c r="A295" s="7">
        <v>43758</v>
      </c>
      <c r="B295" s="8">
        <f t="shared" si="4"/>
        <v>1</v>
      </c>
      <c r="C295" s="9">
        <v>20.100000000000001</v>
      </c>
      <c r="D295" s="9">
        <v>23.9</v>
      </c>
      <c r="E295" s="9">
        <v>17.7</v>
      </c>
      <c r="F295" s="9">
        <v>0</v>
      </c>
      <c r="G295" s="9">
        <v>252</v>
      </c>
    </row>
    <row r="296" spans="1:7" ht="18.25" customHeight="1">
      <c r="A296" s="7">
        <v>43759</v>
      </c>
      <c r="B296" s="8">
        <f t="shared" si="4"/>
        <v>2</v>
      </c>
      <c r="C296" s="9">
        <v>18.2</v>
      </c>
      <c r="D296" s="9">
        <v>21.3</v>
      </c>
      <c r="E296" s="9">
        <v>14.9</v>
      </c>
      <c r="F296" s="9">
        <v>6.5</v>
      </c>
      <c r="G296" s="9">
        <v>115</v>
      </c>
    </row>
    <row r="297" spans="1:7" ht="18.25" customHeight="1">
      <c r="A297" s="7">
        <v>43760</v>
      </c>
      <c r="B297" s="8">
        <f t="shared" si="4"/>
        <v>3</v>
      </c>
      <c r="C297" s="9">
        <v>15.4</v>
      </c>
      <c r="D297" s="9">
        <v>17.2</v>
      </c>
      <c r="E297" s="9">
        <v>14.2</v>
      </c>
      <c r="F297" s="9">
        <v>65</v>
      </c>
      <c r="G297" s="9">
        <v>84</v>
      </c>
    </row>
    <row r="298" spans="1:7" ht="18.25" customHeight="1">
      <c r="A298" s="7">
        <v>43761</v>
      </c>
      <c r="B298" s="8">
        <f t="shared" si="4"/>
        <v>4</v>
      </c>
      <c r="C298" s="9">
        <v>18.5</v>
      </c>
      <c r="D298" s="9">
        <v>24.8</v>
      </c>
      <c r="E298" s="9">
        <v>12.4</v>
      </c>
      <c r="F298" s="9">
        <v>0</v>
      </c>
      <c r="G298" s="9">
        <v>184</v>
      </c>
    </row>
    <row r="299" spans="1:7" ht="18.25" customHeight="1">
      <c r="A299" s="7">
        <v>43762</v>
      </c>
      <c r="B299" s="8">
        <f t="shared" si="4"/>
        <v>5</v>
      </c>
      <c r="C299" s="9">
        <v>18.100000000000001</v>
      </c>
      <c r="D299" s="9">
        <v>21</v>
      </c>
      <c r="E299" s="9">
        <v>14.6</v>
      </c>
      <c r="F299" s="9">
        <v>3</v>
      </c>
      <c r="G299" s="9">
        <v>139</v>
      </c>
    </row>
    <row r="300" spans="1:7" ht="18.25" customHeight="1">
      <c r="A300" s="7">
        <v>43763</v>
      </c>
      <c r="B300" s="8">
        <f t="shared" si="4"/>
        <v>6</v>
      </c>
      <c r="C300" s="9">
        <v>15.1</v>
      </c>
      <c r="D300" s="9">
        <v>16.3</v>
      </c>
      <c r="E300" s="9">
        <v>14.5</v>
      </c>
      <c r="F300" s="9">
        <v>120.5</v>
      </c>
      <c r="G300" s="9">
        <v>7</v>
      </c>
    </row>
    <row r="301" spans="1:7" ht="18.25" customHeight="1">
      <c r="A301" s="7">
        <v>43764</v>
      </c>
      <c r="B301" s="8">
        <f t="shared" si="4"/>
        <v>7</v>
      </c>
      <c r="C301" s="9">
        <v>18.100000000000001</v>
      </c>
      <c r="D301" s="9">
        <v>24.5</v>
      </c>
      <c r="E301" s="9">
        <v>13.3</v>
      </c>
      <c r="F301" s="9">
        <v>0.5</v>
      </c>
      <c r="G301" s="9">
        <v>206</v>
      </c>
    </row>
    <row r="302" spans="1:7" ht="18.25" customHeight="1">
      <c r="A302" s="7">
        <v>43765</v>
      </c>
      <c r="B302" s="8">
        <f t="shared" si="4"/>
        <v>1</v>
      </c>
      <c r="C302" s="9">
        <v>18.3</v>
      </c>
      <c r="D302" s="9">
        <v>22.5</v>
      </c>
      <c r="E302" s="9">
        <v>15.8</v>
      </c>
      <c r="F302" s="9">
        <v>0</v>
      </c>
      <c r="G302" s="9">
        <v>249</v>
      </c>
    </row>
    <row r="303" spans="1:7" ht="18.25" customHeight="1">
      <c r="A303" s="7">
        <v>43766</v>
      </c>
      <c r="B303" s="8">
        <f t="shared" si="4"/>
        <v>2</v>
      </c>
      <c r="C303" s="9">
        <v>17.399999999999999</v>
      </c>
      <c r="D303" s="9">
        <v>21.4</v>
      </c>
      <c r="E303" s="9">
        <v>15</v>
      </c>
      <c r="F303" s="9">
        <v>0</v>
      </c>
      <c r="G303" s="9">
        <v>132</v>
      </c>
    </row>
    <row r="304" spans="1:7" ht="18.25" customHeight="1">
      <c r="A304" s="7">
        <v>43767</v>
      </c>
      <c r="B304" s="8">
        <f t="shared" si="4"/>
        <v>3</v>
      </c>
      <c r="C304" s="9">
        <v>14.5</v>
      </c>
      <c r="D304" s="9">
        <v>16.3</v>
      </c>
      <c r="E304" s="9">
        <v>12.6</v>
      </c>
      <c r="F304" s="9">
        <v>11.5</v>
      </c>
      <c r="G304" s="9">
        <v>116</v>
      </c>
    </row>
    <row r="305" spans="1:7" ht="18.25" customHeight="1">
      <c r="A305" s="7">
        <v>43768</v>
      </c>
      <c r="B305" s="8">
        <f t="shared" si="4"/>
        <v>4</v>
      </c>
      <c r="C305" s="9">
        <v>16.5</v>
      </c>
      <c r="D305" s="9">
        <v>22.7</v>
      </c>
      <c r="E305" s="9">
        <v>12.1</v>
      </c>
      <c r="F305" s="9">
        <v>0</v>
      </c>
      <c r="G305" s="9">
        <v>182</v>
      </c>
    </row>
    <row r="306" spans="1:7" ht="18.25" customHeight="1">
      <c r="A306" s="7">
        <v>43769</v>
      </c>
      <c r="B306" s="8">
        <f t="shared" si="4"/>
        <v>5</v>
      </c>
      <c r="C306" s="9">
        <v>16.8</v>
      </c>
      <c r="D306" s="9">
        <v>22</v>
      </c>
      <c r="E306" s="9">
        <v>14</v>
      </c>
      <c r="F306" s="9">
        <v>0</v>
      </c>
      <c r="G306" s="9">
        <v>146</v>
      </c>
    </row>
    <row r="307" spans="1:7" ht="18.25" customHeight="1">
      <c r="A307" s="7">
        <v>43770</v>
      </c>
      <c r="B307" s="8">
        <f t="shared" si="4"/>
        <v>6</v>
      </c>
      <c r="C307" s="9">
        <v>17.399999999999999</v>
      </c>
      <c r="D307" s="9">
        <v>23.9</v>
      </c>
      <c r="E307" s="9">
        <v>12.2</v>
      </c>
      <c r="F307" s="9">
        <v>0</v>
      </c>
      <c r="G307" s="9">
        <v>153</v>
      </c>
    </row>
    <row r="308" spans="1:7" ht="18.25" customHeight="1">
      <c r="A308" s="7">
        <v>43771</v>
      </c>
      <c r="B308" s="8">
        <f t="shared" si="4"/>
        <v>7</v>
      </c>
      <c r="C308" s="9">
        <v>15.7</v>
      </c>
      <c r="D308" s="9">
        <v>19.899999999999999</v>
      </c>
      <c r="E308" s="9">
        <v>10.9</v>
      </c>
      <c r="F308" s="9">
        <v>0</v>
      </c>
      <c r="G308" s="9">
        <v>198</v>
      </c>
    </row>
    <row r="309" spans="1:7" ht="18.25" customHeight="1">
      <c r="A309" s="7">
        <v>43772</v>
      </c>
      <c r="B309" s="8">
        <f t="shared" si="4"/>
        <v>1</v>
      </c>
      <c r="C309" s="9">
        <v>15.8</v>
      </c>
      <c r="D309" s="9">
        <v>18.899999999999999</v>
      </c>
      <c r="E309" s="9">
        <v>12.7</v>
      </c>
      <c r="F309" s="9">
        <v>10.5</v>
      </c>
      <c r="G309" s="9">
        <v>213</v>
      </c>
    </row>
    <row r="310" spans="1:7" ht="18.25" customHeight="1">
      <c r="A310" s="7">
        <v>43773</v>
      </c>
      <c r="B310" s="8">
        <f t="shared" si="4"/>
        <v>2</v>
      </c>
      <c r="C310" s="9">
        <v>14.6</v>
      </c>
      <c r="D310" s="9">
        <v>20.2</v>
      </c>
      <c r="E310" s="9">
        <v>11</v>
      </c>
      <c r="F310" s="9">
        <v>1</v>
      </c>
      <c r="G310" s="9">
        <v>115</v>
      </c>
    </row>
    <row r="311" spans="1:7" ht="18.25" customHeight="1">
      <c r="A311" s="7">
        <v>43774</v>
      </c>
      <c r="B311" s="8">
        <f t="shared" si="4"/>
        <v>3</v>
      </c>
      <c r="C311" s="9">
        <v>13.7</v>
      </c>
      <c r="D311" s="9">
        <v>19.2</v>
      </c>
      <c r="E311" s="9">
        <v>9</v>
      </c>
      <c r="F311" s="9">
        <v>0</v>
      </c>
      <c r="G311" s="9">
        <v>128</v>
      </c>
    </row>
    <row r="312" spans="1:7" ht="18.25" customHeight="1">
      <c r="A312" s="7">
        <v>43775</v>
      </c>
      <c r="B312" s="8">
        <f t="shared" si="4"/>
        <v>4</v>
      </c>
      <c r="C312" s="9">
        <v>14.3</v>
      </c>
      <c r="D312" s="9">
        <v>21.2</v>
      </c>
      <c r="E312" s="9">
        <v>8.8000000000000007</v>
      </c>
      <c r="F312" s="9">
        <v>0</v>
      </c>
      <c r="G312" s="9">
        <v>160</v>
      </c>
    </row>
    <row r="313" spans="1:7" ht="18.25" customHeight="1">
      <c r="A313" s="7">
        <v>43776</v>
      </c>
      <c r="B313" s="8">
        <f t="shared" si="4"/>
        <v>5</v>
      </c>
      <c r="C313" s="9">
        <v>16</v>
      </c>
      <c r="D313" s="9">
        <v>22.6</v>
      </c>
      <c r="E313" s="9">
        <v>9.8000000000000007</v>
      </c>
      <c r="F313" s="9">
        <v>0</v>
      </c>
      <c r="G313" s="9">
        <v>136</v>
      </c>
    </row>
    <row r="314" spans="1:7" ht="18.25" customHeight="1">
      <c r="A314" s="7">
        <v>43777</v>
      </c>
      <c r="B314" s="8">
        <f t="shared" si="4"/>
        <v>6</v>
      </c>
      <c r="C314" s="9">
        <v>15.1</v>
      </c>
      <c r="D314" s="9">
        <v>19.2</v>
      </c>
      <c r="E314" s="9">
        <v>11.9</v>
      </c>
      <c r="F314" s="9">
        <v>0</v>
      </c>
      <c r="G314" s="9">
        <v>132</v>
      </c>
    </row>
    <row r="315" spans="1:7" ht="18.25" customHeight="1">
      <c r="A315" s="7">
        <v>43778</v>
      </c>
      <c r="B315" s="8">
        <f t="shared" si="4"/>
        <v>7</v>
      </c>
      <c r="C315" s="9">
        <v>13.3</v>
      </c>
      <c r="D315" s="9">
        <v>17.399999999999999</v>
      </c>
      <c r="E315" s="9">
        <v>11.3</v>
      </c>
      <c r="F315" s="9">
        <v>0</v>
      </c>
      <c r="G315" s="9">
        <v>168</v>
      </c>
    </row>
    <row r="316" spans="1:7" ht="18.25" customHeight="1">
      <c r="A316" s="7">
        <v>43779</v>
      </c>
      <c r="B316" s="8">
        <f t="shared" si="4"/>
        <v>1</v>
      </c>
      <c r="C316" s="9">
        <v>13.9</v>
      </c>
      <c r="D316" s="9">
        <v>18.600000000000001</v>
      </c>
      <c r="E316" s="9">
        <v>9.1999999999999993</v>
      </c>
      <c r="F316" s="9">
        <v>0</v>
      </c>
      <c r="G316" s="9">
        <v>238</v>
      </c>
    </row>
    <row r="317" spans="1:7" ht="18.25" customHeight="1">
      <c r="A317" s="7">
        <v>43780</v>
      </c>
      <c r="B317" s="8">
        <f t="shared" si="4"/>
        <v>2</v>
      </c>
      <c r="C317" s="9">
        <v>12.9</v>
      </c>
      <c r="D317" s="9">
        <v>17.899999999999999</v>
      </c>
      <c r="E317" s="9">
        <v>10.8</v>
      </c>
      <c r="F317" s="9">
        <v>6.5</v>
      </c>
      <c r="G317" s="9">
        <v>113</v>
      </c>
    </row>
    <row r="318" spans="1:7" ht="18.25" customHeight="1">
      <c r="A318" s="7">
        <v>43781</v>
      </c>
      <c r="B318" s="8">
        <f t="shared" si="4"/>
        <v>3</v>
      </c>
      <c r="C318" s="9">
        <v>15.1</v>
      </c>
      <c r="D318" s="9">
        <v>21.8</v>
      </c>
      <c r="E318" s="9">
        <v>9.1999999999999993</v>
      </c>
      <c r="F318" s="9">
        <v>0</v>
      </c>
      <c r="G318" s="9">
        <v>145</v>
      </c>
    </row>
    <row r="319" spans="1:7" ht="18.25" customHeight="1">
      <c r="A319" s="7">
        <v>43782</v>
      </c>
      <c r="B319" s="8">
        <f t="shared" si="4"/>
        <v>4</v>
      </c>
      <c r="C319" s="9">
        <v>13.3</v>
      </c>
      <c r="D319" s="9">
        <v>16.100000000000001</v>
      </c>
      <c r="E319" s="9">
        <v>11.3</v>
      </c>
      <c r="F319" s="9">
        <v>0.5</v>
      </c>
      <c r="G319" s="9">
        <v>152</v>
      </c>
    </row>
    <row r="320" spans="1:7" ht="18.25" customHeight="1">
      <c r="A320" s="7">
        <v>43783</v>
      </c>
      <c r="B320" s="8">
        <f t="shared" si="4"/>
        <v>5</v>
      </c>
      <c r="C320" s="9">
        <v>16.899999999999999</v>
      </c>
      <c r="D320" s="9">
        <v>22.3</v>
      </c>
      <c r="E320" s="9">
        <v>11.6</v>
      </c>
      <c r="F320" s="9">
        <v>0</v>
      </c>
      <c r="G320" s="9">
        <v>140</v>
      </c>
    </row>
    <row r="321" spans="1:7" ht="18.25" customHeight="1">
      <c r="A321" s="7">
        <v>43784</v>
      </c>
      <c r="B321" s="8">
        <f t="shared" si="4"/>
        <v>6</v>
      </c>
      <c r="C321" s="9">
        <v>12.6</v>
      </c>
      <c r="D321" s="9">
        <v>17.100000000000001</v>
      </c>
      <c r="E321" s="9">
        <v>9.6999999999999993</v>
      </c>
      <c r="F321" s="9">
        <v>0</v>
      </c>
      <c r="G321" s="9">
        <v>136</v>
      </c>
    </row>
    <row r="322" spans="1:7" ht="18.25" customHeight="1">
      <c r="A322" s="7">
        <v>43785</v>
      </c>
      <c r="B322" s="8">
        <f t="shared" si="4"/>
        <v>7</v>
      </c>
      <c r="C322" s="9">
        <v>12.8</v>
      </c>
      <c r="D322" s="9">
        <v>18.899999999999999</v>
      </c>
      <c r="E322" s="9">
        <v>7.8</v>
      </c>
      <c r="F322" s="9">
        <v>0</v>
      </c>
      <c r="G322" s="9">
        <v>168</v>
      </c>
    </row>
    <row r="323" spans="1:7" ht="18.25" customHeight="1">
      <c r="A323" s="7">
        <v>43786</v>
      </c>
      <c r="B323" s="8">
        <f t="shared" ref="B323:B367" si="5">WEEKDAY($A323)</f>
        <v>1</v>
      </c>
      <c r="C323" s="9">
        <v>13.4</v>
      </c>
      <c r="D323" s="9">
        <v>19.7</v>
      </c>
      <c r="E323" s="9">
        <v>8.1999999999999993</v>
      </c>
      <c r="F323" s="9">
        <v>0</v>
      </c>
      <c r="G323" s="9">
        <v>226</v>
      </c>
    </row>
    <row r="324" spans="1:7" ht="18.25" customHeight="1">
      <c r="A324" s="7">
        <v>43787</v>
      </c>
      <c r="B324" s="8">
        <f t="shared" si="5"/>
        <v>2</v>
      </c>
      <c r="C324" s="9">
        <v>16.100000000000001</v>
      </c>
      <c r="D324" s="9">
        <v>21.4</v>
      </c>
      <c r="E324" s="9">
        <v>9.4</v>
      </c>
      <c r="F324" s="9">
        <v>0</v>
      </c>
      <c r="G324" s="9">
        <v>114</v>
      </c>
    </row>
    <row r="325" spans="1:7" ht="18.25" customHeight="1">
      <c r="A325" s="7">
        <v>43788</v>
      </c>
      <c r="B325" s="8">
        <f t="shared" si="5"/>
        <v>3</v>
      </c>
      <c r="C325" s="9">
        <v>15.8</v>
      </c>
      <c r="D325" s="9">
        <v>20.7</v>
      </c>
      <c r="E325" s="9">
        <v>11.7</v>
      </c>
      <c r="F325" s="9">
        <v>3</v>
      </c>
      <c r="G325" s="9">
        <v>152</v>
      </c>
    </row>
    <row r="326" spans="1:7" ht="18.25" customHeight="1">
      <c r="A326" s="7">
        <v>43789</v>
      </c>
      <c r="B326" s="8">
        <f t="shared" si="5"/>
        <v>4</v>
      </c>
      <c r="C326" s="9">
        <v>12</v>
      </c>
      <c r="D326" s="9">
        <v>15.9</v>
      </c>
      <c r="E326" s="9">
        <v>9.6</v>
      </c>
      <c r="F326" s="9">
        <v>0</v>
      </c>
      <c r="G326" s="9">
        <v>166</v>
      </c>
    </row>
    <row r="327" spans="1:7" ht="18.25" customHeight="1">
      <c r="A327" s="7">
        <v>43790</v>
      </c>
      <c r="B327" s="8">
        <f t="shared" si="5"/>
        <v>5</v>
      </c>
      <c r="C327" s="9">
        <v>11.3</v>
      </c>
      <c r="D327" s="9">
        <v>15.7</v>
      </c>
      <c r="E327" s="9">
        <v>8.5</v>
      </c>
      <c r="F327" s="9">
        <v>0</v>
      </c>
      <c r="G327" s="9">
        <v>134</v>
      </c>
    </row>
    <row r="328" spans="1:7" ht="18.25" customHeight="1">
      <c r="A328" s="7">
        <v>43791</v>
      </c>
      <c r="B328" s="8">
        <f t="shared" si="5"/>
        <v>6</v>
      </c>
      <c r="C328" s="9">
        <v>8.1</v>
      </c>
      <c r="D328" s="9">
        <v>10.8</v>
      </c>
      <c r="E328" s="9">
        <v>6.3</v>
      </c>
      <c r="F328" s="9">
        <v>47</v>
      </c>
      <c r="G328" s="9">
        <v>62</v>
      </c>
    </row>
    <row r="329" spans="1:7" ht="18.25" customHeight="1">
      <c r="A329" s="7">
        <v>43792</v>
      </c>
      <c r="B329" s="8">
        <f t="shared" si="5"/>
        <v>7</v>
      </c>
      <c r="C329" s="9">
        <v>11.3</v>
      </c>
      <c r="D329" s="9">
        <v>13</v>
      </c>
      <c r="E329" s="9">
        <v>9.1999999999999993</v>
      </c>
      <c r="F329" s="9">
        <v>60.5</v>
      </c>
      <c r="G329" s="9">
        <v>117</v>
      </c>
    </row>
    <row r="330" spans="1:7" ht="18.25" customHeight="1">
      <c r="A330" s="7">
        <v>43793</v>
      </c>
      <c r="B330" s="8">
        <f t="shared" si="5"/>
        <v>1</v>
      </c>
      <c r="C330" s="9">
        <v>15.9</v>
      </c>
      <c r="D330" s="9">
        <v>19.100000000000001</v>
      </c>
      <c r="E330" s="9">
        <v>12.9</v>
      </c>
      <c r="F330" s="9">
        <v>19</v>
      </c>
      <c r="G330" s="9">
        <v>226</v>
      </c>
    </row>
    <row r="331" spans="1:7" ht="18.25" customHeight="1">
      <c r="A331" s="7">
        <v>43794</v>
      </c>
      <c r="B331" s="8">
        <f t="shared" si="5"/>
        <v>2</v>
      </c>
      <c r="C331" s="9">
        <v>16.600000000000001</v>
      </c>
      <c r="D331" s="9">
        <v>21.9</v>
      </c>
      <c r="E331" s="9">
        <v>12.1</v>
      </c>
      <c r="F331" s="9">
        <v>1</v>
      </c>
      <c r="G331" s="9">
        <v>128</v>
      </c>
    </row>
    <row r="332" spans="1:7" ht="18.25" customHeight="1">
      <c r="A332" s="7">
        <v>43795</v>
      </c>
      <c r="B332" s="8">
        <f t="shared" si="5"/>
        <v>3</v>
      </c>
      <c r="C332" s="9">
        <v>8.8000000000000007</v>
      </c>
      <c r="D332" s="9">
        <v>12.5</v>
      </c>
      <c r="E332" s="9">
        <v>7.3</v>
      </c>
      <c r="F332" s="9">
        <v>1.5</v>
      </c>
      <c r="G332" s="9">
        <v>113</v>
      </c>
    </row>
    <row r="333" spans="1:7" ht="18.25" customHeight="1">
      <c r="A333" s="7">
        <v>43796</v>
      </c>
      <c r="B333" s="8">
        <f t="shared" si="5"/>
        <v>4</v>
      </c>
      <c r="C333" s="9">
        <v>9.3000000000000007</v>
      </c>
      <c r="D333" s="9">
        <v>10.7</v>
      </c>
      <c r="E333" s="9">
        <v>7.8</v>
      </c>
      <c r="F333" s="9">
        <v>2.5</v>
      </c>
      <c r="G333" s="9">
        <v>128</v>
      </c>
    </row>
    <row r="334" spans="1:7" ht="18.25" customHeight="1">
      <c r="A334" s="7">
        <v>43797</v>
      </c>
      <c r="B334" s="8">
        <f t="shared" si="5"/>
        <v>5</v>
      </c>
      <c r="C334" s="9">
        <v>8.5</v>
      </c>
      <c r="D334" s="9">
        <v>11.8</v>
      </c>
      <c r="E334" s="9">
        <v>4.5999999999999996</v>
      </c>
      <c r="F334" s="9">
        <v>3.5</v>
      </c>
      <c r="G334" s="9">
        <v>109</v>
      </c>
    </row>
    <row r="335" spans="1:7" ht="18.25" customHeight="1">
      <c r="A335" s="7">
        <v>43798</v>
      </c>
      <c r="B335" s="8">
        <f t="shared" si="5"/>
        <v>6</v>
      </c>
      <c r="C335" s="9">
        <v>5.2</v>
      </c>
      <c r="D335" s="9">
        <v>9.6999999999999993</v>
      </c>
      <c r="E335" s="9">
        <v>1.6</v>
      </c>
      <c r="F335" s="9">
        <v>0</v>
      </c>
      <c r="G335" s="9">
        <v>96</v>
      </c>
    </row>
    <row r="336" spans="1:7" ht="18.25" customHeight="1">
      <c r="A336" s="7">
        <v>43799</v>
      </c>
      <c r="B336" s="8">
        <f t="shared" si="5"/>
        <v>7</v>
      </c>
      <c r="C336" s="9">
        <v>7.3</v>
      </c>
      <c r="D336" s="9">
        <v>12</v>
      </c>
      <c r="E336" s="9">
        <v>3.1</v>
      </c>
      <c r="F336" s="9">
        <v>0</v>
      </c>
      <c r="G336" s="9">
        <v>143</v>
      </c>
    </row>
    <row r="337" spans="1:7" ht="18.25" customHeight="1">
      <c r="A337" s="7">
        <v>43800</v>
      </c>
      <c r="B337" s="8">
        <f t="shared" si="5"/>
        <v>1</v>
      </c>
      <c r="C337" s="9">
        <v>7.4</v>
      </c>
      <c r="D337" s="9">
        <v>11.5</v>
      </c>
      <c r="E337" s="9">
        <v>4.7</v>
      </c>
      <c r="F337" s="9">
        <v>0</v>
      </c>
      <c r="G337" s="9">
        <v>211</v>
      </c>
    </row>
    <row r="338" spans="1:7" ht="18.25" customHeight="1">
      <c r="A338" s="7">
        <v>43801</v>
      </c>
      <c r="B338" s="8">
        <f t="shared" si="5"/>
        <v>2</v>
      </c>
      <c r="C338" s="9">
        <v>9.5</v>
      </c>
      <c r="D338" s="9">
        <v>16.399999999999999</v>
      </c>
      <c r="E338" s="9">
        <v>6.2</v>
      </c>
      <c r="F338" s="9">
        <v>36</v>
      </c>
      <c r="G338" s="9">
        <v>60</v>
      </c>
    </row>
    <row r="339" spans="1:7" ht="18.25" customHeight="1">
      <c r="A339" s="7">
        <v>43802</v>
      </c>
      <c r="B339" s="8">
        <f t="shared" si="5"/>
        <v>3</v>
      </c>
      <c r="C339" s="9">
        <v>11.8</v>
      </c>
      <c r="D339" s="9">
        <v>17</v>
      </c>
      <c r="E339" s="9">
        <v>9.1</v>
      </c>
      <c r="F339" s="9">
        <v>0</v>
      </c>
      <c r="G339" s="9">
        <v>129</v>
      </c>
    </row>
    <row r="340" spans="1:7" ht="18.25" customHeight="1">
      <c r="A340" s="7">
        <v>43803</v>
      </c>
      <c r="B340" s="8">
        <f t="shared" si="5"/>
        <v>4</v>
      </c>
      <c r="C340" s="9">
        <v>10.199999999999999</v>
      </c>
      <c r="D340" s="9">
        <v>15.3</v>
      </c>
      <c r="E340" s="9">
        <v>5.7</v>
      </c>
      <c r="F340" s="9">
        <v>0</v>
      </c>
      <c r="G340" s="9">
        <v>162</v>
      </c>
    </row>
    <row r="341" spans="1:7" ht="18.25" customHeight="1">
      <c r="A341" s="7">
        <v>43804</v>
      </c>
      <c r="B341" s="8">
        <f t="shared" si="5"/>
        <v>5</v>
      </c>
      <c r="C341" s="9">
        <v>9.6</v>
      </c>
      <c r="D341" s="9">
        <v>14.5</v>
      </c>
      <c r="E341" s="9">
        <v>5.6</v>
      </c>
      <c r="F341" s="9">
        <v>0</v>
      </c>
      <c r="G341" s="9">
        <v>115</v>
      </c>
    </row>
    <row r="342" spans="1:7" ht="18.25" customHeight="1">
      <c r="A342" s="7">
        <v>43805</v>
      </c>
      <c r="B342" s="8">
        <f t="shared" si="5"/>
        <v>6</v>
      </c>
      <c r="C342" s="9">
        <v>8</v>
      </c>
      <c r="D342" s="9">
        <v>10.4</v>
      </c>
      <c r="E342" s="9">
        <v>6</v>
      </c>
      <c r="F342" s="9">
        <v>0</v>
      </c>
      <c r="G342" s="9">
        <v>112</v>
      </c>
    </row>
    <row r="343" spans="1:7" ht="18.25" customHeight="1">
      <c r="A343" s="7">
        <v>43806</v>
      </c>
      <c r="B343" s="8">
        <f t="shared" si="5"/>
        <v>7</v>
      </c>
      <c r="C343" s="9">
        <v>5.5</v>
      </c>
      <c r="D343" s="9">
        <v>7.1</v>
      </c>
      <c r="E343" s="9">
        <v>4.4000000000000004</v>
      </c>
      <c r="F343" s="9">
        <v>1.5</v>
      </c>
      <c r="G343" s="9">
        <v>143</v>
      </c>
    </row>
    <row r="344" spans="1:7" ht="18.25" customHeight="1">
      <c r="A344" s="7">
        <v>43807</v>
      </c>
      <c r="B344" s="8">
        <f t="shared" si="5"/>
        <v>1</v>
      </c>
      <c r="C344" s="9">
        <v>7.4</v>
      </c>
      <c r="D344" s="9">
        <v>13.2</v>
      </c>
      <c r="E344" s="9">
        <v>2.2000000000000002</v>
      </c>
      <c r="F344" s="9">
        <v>0</v>
      </c>
      <c r="G344" s="9">
        <v>196</v>
      </c>
    </row>
    <row r="345" spans="1:7" ht="18.25" customHeight="1">
      <c r="A345" s="7">
        <v>43808</v>
      </c>
      <c r="B345" s="8">
        <f t="shared" si="5"/>
        <v>2</v>
      </c>
      <c r="C345" s="9">
        <v>6.4</v>
      </c>
      <c r="D345" s="9">
        <v>9.5</v>
      </c>
      <c r="E345" s="9">
        <v>3.5</v>
      </c>
      <c r="F345" s="9">
        <v>1</v>
      </c>
      <c r="G345" s="9">
        <v>80</v>
      </c>
    </row>
    <row r="346" spans="1:7" ht="18.25" customHeight="1">
      <c r="A346" s="7">
        <v>43809</v>
      </c>
      <c r="B346" s="8">
        <f t="shared" si="5"/>
        <v>3</v>
      </c>
      <c r="C346" s="9">
        <v>10.199999999999999</v>
      </c>
      <c r="D346" s="9">
        <v>14.3</v>
      </c>
      <c r="E346" s="9">
        <v>6.6</v>
      </c>
      <c r="F346" s="9">
        <v>5.5</v>
      </c>
      <c r="G346" s="9">
        <v>113</v>
      </c>
    </row>
    <row r="347" spans="1:7" ht="18.25" customHeight="1">
      <c r="A347" s="7">
        <v>43810</v>
      </c>
      <c r="B347" s="8">
        <f t="shared" si="5"/>
        <v>4</v>
      </c>
      <c r="C347" s="9">
        <v>11.7</v>
      </c>
      <c r="D347" s="9">
        <v>15.3</v>
      </c>
      <c r="E347" s="9">
        <v>8.3000000000000007</v>
      </c>
      <c r="F347" s="9">
        <v>0.5</v>
      </c>
      <c r="G347" s="9">
        <v>156</v>
      </c>
    </row>
    <row r="348" spans="1:7" ht="18.25" customHeight="1">
      <c r="A348" s="7">
        <v>43811</v>
      </c>
      <c r="B348" s="8">
        <f t="shared" si="5"/>
        <v>5</v>
      </c>
      <c r="C348" s="9">
        <v>11.7</v>
      </c>
      <c r="D348" s="9">
        <v>18.899999999999999</v>
      </c>
      <c r="E348" s="9">
        <v>7.8</v>
      </c>
      <c r="F348" s="9">
        <v>0</v>
      </c>
      <c r="G348" s="9">
        <v>144</v>
      </c>
    </row>
    <row r="349" spans="1:7" ht="18.25" customHeight="1">
      <c r="A349" s="7">
        <v>43812</v>
      </c>
      <c r="B349" s="8">
        <f t="shared" si="5"/>
        <v>6</v>
      </c>
      <c r="C349" s="9">
        <v>7.5</v>
      </c>
      <c r="D349" s="9">
        <v>9.4</v>
      </c>
      <c r="E349" s="9">
        <v>6.5</v>
      </c>
      <c r="F349" s="9">
        <v>0</v>
      </c>
      <c r="G349" s="9">
        <v>108</v>
      </c>
    </row>
    <row r="350" spans="1:7" ht="18.25" customHeight="1">
      <c r="A350" s="7">
        <v>43813</v>
      </c>
      <c r="B350" s="8">
        <f t="shared" si="5"/>
        <v>7</v>
      </c>
      <c r="C350" s="9">
        <v>9.4</v>
      </c>
      <c r="D350" s="9">
        <v>16</v>
      </c>
      <c r="E350" s="9">
        <v>2.9</v>
      </c>
      <c r="F350" s="9">
        <v>0</v>
      </c>
      <c r="G350" s="9">
        <v>169</v>
      </c>
    </row>
    <row r="351" spans="1:7" ht="18.25" customHeight="1">
      <c r="A351" s="7">
        <v>43814</v>
      </c>
      <c r="B351" s="8">
        <f t="shared" si="5"/>
        <v>1</v>
      </c>
      <c r="C351" s="9">
        <v>8.6999999999999993</v>
      </c>
      <c r="D351" s="9">
        <v>12.5</v>
      </c>
      <c r="E351" s="9">
        <v>5.5</v>
      </c>
      <c r="F351" s="9">
        <v>0</v>
      </c>
      <c r="G351" s="9">
        <v>212</v>
      </c>
    </row>
    <row r="352" spans="1:7" ht="18.25" customHeight="1">
      <c r="A352" s="7">
        <v>43815</v>
      </c>
      <c r="B352" s="8">
        <f t="shared" si="5"/>
        <v>2</v>
      </c>
      <c r="C352" s="9">
        <v>7.8</v>
      </c>
      <c r="D352" s="9">
        <v>12.3</v>
      </c>
      <c r="E352" s="9">
        <v>2.9</v>
      </c>
      <c r="F352" s="9">
        <v>0</v>
      </c>
      <c r="G352" s="9">
        <v>83</v>
      </c>
    </row>
    <row r="353" spans="1:7" ht="18.25" customHeight="1">
      <c r="A353" s="7">
        <v>43816</v>
      </c>
      <c r="B353" s="8">
        <f t="shared" si="5"/>
        <v>3</v>
      </c>
      <c r="C353" s="9">
        <v>8.1999999999999993</v>
      </c>
      <c r="D353" s="9">
        <v>9.6999999999999993</v>
      </c>
      <c r="E353" s="9">
        <v>6</v>
      </c>
      <c r="F353" s="9">
        <v>1</v>
      </c>
      <c r="G353" s="9">
        <v>126</v>
      </c>
    </row>
    <row r="354" spans="1:7" ht="18.25" customHeight="1">
      <c r="A354" s="7">
        <v>43817</v>
      </c>
      <c r="B354" s="8">
        <f t="shared" si="5"/>
        <v>4</v>
      </c>
      <c r="C354" s="9">
        <v>11.1</v>
      </c>
      <c r="D354" s="9">
        <v>15.4</v>
      </c>
      <c r="E354" s="9">
        <v>6.5</v>
      </c>
      <c r="F354" s="9">
        <v>0</v>
      </c>
      <c r="G354" s="9">
        <v>151</v>
      </c>
    </row>
    <row r="355" spans="1:7" ht="18.25" customHeight="1">
      <c r="A355" s="7">
        <v>43818</v>
      </c>
      <c r="B355" s="8">
        <f t="shared" si="5"/>
        <v>5</v>
      </c>
      <c r="C355" s="9">
        <v>9</v>
      </c>
      <c r="D355" s="9">
        <v>11.1</v>
      </c>
      <c r="E355" s="9">
        <v>8</v>
      </c>
      <c r="F355" s="9">
        <v>0</v>
      </c>
      <c r="G355" s="9">
        <v>121</v>
      </c>
    </row>
    <row r="356" spans="1:7" ht="18.25" customHeight="1">
      <c r="A356" s="7">
        <v>43819</v>
      </c>
      <c r="B356" s="8">
        <f t="shared" si="5"/>
        <v>6</v>
      </c>
      <c r="C356" s="9">
        <v>10.6</v>
      </c>
      <c r="D356" s="9">
        <v>16.100000000000001</v>
      </c>
      <c r="E356" s="9">
        <v>6</v>
      </c>
      <c r="F356" s="9">
        <v>0</v>
      </c>
      <c r="G356" s="9">
        <v>128</v>
      </c>
    </row>
    <row r="357" spans="1:7" ht="18.25" customHeight="1">
      <c r="A357" s="7">
        <v>43820</v>
      </c>
      <c r="B357" s="8">
        <f t="shared" si="5"/>
        <v>7</v>
      </c>
      <c r="C357" s="9">
        <v>8.1</v>
      </c>
      <c r="D357" s="9">
        <v>9.5</v>
      </c>
      <c r="E357" s="9">
        <v>6.5</v>
      </c>
      <c r="F357" s="9">
        <v>0</v>
      </c>
      <c r="G357" s="9">
        <v>165</v>
      </c>
    </row>
    <row r="358" spans="1:7" ht="18.25" customHeight="1">
      <c r="A358" s="7">
        <v>43821</v>
      </c>
      <c r="B358" s="8">
        <f t="shared" si="5"/>
        <v>1</v>
      </c>
      <c r="C358" s="9">
        <v>6.8</v>
      </c>
      <c r="D358" s="9">
        <v>9</v>
      </c>
      <c r="E358" s="9">
        <v>5.0999999999999996</v>
      </c>
      <c r="F358" s="9">
        <v>16.5</v>
      </c>
      <c r="G358" s="9">
        <v>157</v>
      </c>
    </row>
    <row r="359" spans="1:7" ht="18.25" customHeight="1">
      <c r="A359" s="7">
        <v>43822</v>
      </c>
      <c r="B359" s="8">
        <f t="shared" si="5"/>
        <v>2</v>
      </c>
      <c r="C359" s="9">
        <v>6.8</v>
      </c>
      <c r="D359" s="9">
        <v>12</v>
      </c>
      <c r="E359" s="9">
        <v>3.5</v>
      </c>
      <c r="F359" s="9">
        <v>13.5</v>
      </c>
      <c r="G359" s="9">
        <v>77</v>
      </c>
    </row>
    <row r="360" spans="1:7" ht="18.25" customHeight="1">
      <c r="A360" s="7">
        <v>43823</v>
      </c>
      <c r="B360" s="8">
        <f t="shared" si="5"/>
        <v>3</v>
      </c>
      <c r="C360" s="9">
        <v>8.1999999999999993</v>
      </c>
      <c r="D360" s="9">
        <v>12.6</v>
      </c>
      <c r="E360" s="9">
        <v>5</v>
      </c>
      <c r="F360" s="9">
        <v>0</v>
      </c>
      <c r="G360" s="9">
        <v>120</v>
      </c>
    </row>
    <row r="361" spans="1:7" ht="18.25" customHeight="1">
      <c r="A361" s="7">
        <v>43824</v>
      </c>
      <c r="B361" s="8">
        <f t="shared" si="5"/>
        <v>4</v>
      </c>
      <c r="C361" s="9">
        <v>5.9</v>
      </c>
      <c r="D361" s="9">
        <v>8.9</v>
      </c>
      <c r="E361" s="9">
        <v>4.2</v>
      </c>
      <c r="F361" s="9">
        <v>0</v>
      </c>
      <c r="G361" s="9">
        <v>143</v>
      </c>
    </row>
    <row r="362" spans="1:7" ht="18.25" customHeight="1">
      <c r="A362" s="7">
        <v>43825</v>
      </c>
      <c r="B362" s="8">
        <f t="shared" si="5"/>
        <v>5</v>
      </c>
      <c r="C362" s="9">
        <v>7.8</v>
      </c>
      <c r="D362" s="9">
        <v>11.5</v>
      </c>
      <c r="E362" s="9">
        <v>3.8</v>
      </c>
      <c r="F362" s="9">
        <v>0</v>
      </c>
      <c r="G362" s="9">
        <v>107</v>
      </c>
    </row>
    <row r="363" spans="1:7" ht="18.25" customHeight="1">
      <c r="A363" s="7">
        <v>43826</v>
      </c>
      <c r="B363" s="8">
        <f t="shared" si="5"/>
        <v>6</v>
      </c>
      <c r="C363" s="9">
        <v>8.6999999999999993</v>
      </c>
      <c r="D363" s="9">
        <v>13.7</v>
      </c>
      <c r="E363" s="9">
        <v>4.5</v>
      </c>
      <c r="F363" s="9">
        <v>0.5</v>
      </c>
      <c r="G363" s="9">
        <v>125</v>
      </c>
    </row>
    <row r="364" spans="1:7" ht="18.25" customHeight="1">
      <c r="A364" s="7">
        <v>43827</v>
      </c>
      <c r="B364" s="8">
        <f t="shared" si="5"/>
        <v>7</v>
      </c>
      <c r="C364" s="9">
        <v>6.8</v>
      </c>
      <c r="D364" s="9">
        <v>10.9</v>
      </c>
      <c r="E364" s="9">
        <v>3.8</v>
      </c>
      <c r="F364" s="9">
        <v>0</v>
      </c>
      <c r="G364" s="9">
        <v>168</v>
      </c>
    </row>
    <row r="365" spans="1:7" ht="18.25" customHeight="1">
      <c r="A365" s="7">
        <v>43828</v>
      </c>
      <c r="B365" s="8">
        <f t="shared" si="5"/>
        <v>1</v>
      </c>
      <c r="C365" s="9">
        <v>7</v>
      </c>
      <c r="D365" s="9">
        <v>10.9</v>
      </c>
      <c r="E365" s="9">
        <v>2.2000000000000002</v>
      </c>
      <c r="F365" s="9">
        <v>0</v>
      </c>
      <c r="G365" s="9">
        <v>199</v>
      </c>
    </row>
    <row r="366" spans="1:7" ht="18.25" customHeight="1">
      <c r="A366" s="7">
        <v>43829</v>
      </c>
      <c r="B366" s="8">
        <f t="shared" si="5"/>
        <v>2</v>
      </c>
      <c r="C366" s="9">
        <v>6.7</v>
      </c>
      <c r="D366" s="9">
        <v>8.8000000000000007</v>
      </c>
      <c r="E366" s="9">
        <v>5.0999999999999996</v>
      </c>
      <c r="F366" s="9">
        <v>0.5</v>
      </c>
      <c r="G366" s="9">
        <v>88</v>
      </c>
    </row>
    <row r="367" spans="1:7" ht="18.25" customHeight="1">
      <c r="A367" s="7">
        <v>43830</v>
      </c>
      <c r="B367" s="8">
        <f t="shared" si="5"/>
        <v>3</v>
      </c>
      <c r="C367" s="9">
        <v>8.1999999999999993</v>
      </c>
      <c r="D367" s="9">
        <v>16.5</v>
      </c>
      <c r="E367" s="9">
        <v>3.7</v>
      </c>
      <c r="F367" s="9">
        <v>0</v>
      </c>
      <c r="G367" s="9">
        <v>117</v>
      </c>
    </row>
  </sheetData>
  <mergeCells count="1">
    <mergeCell ref="A1:G1"/>
  </mergeCells>
  <phoneticPr fontId="4"/>
  <pageMargins left="0.5" right="0.5" top="0.75" bottom="0.75" header="0.27777800000000002" footer="0.27777800000000002"/>
  <pageSetup scale="72" orientation="portrait"/>
  <headerFooter>
    <oddFooter>&amp;C&amp;"ヒラギノ角ゴ ProN W3,Regular"&amp;12&amp;K000000&amp;P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8F528-E969-4C4D-92D3-0C226CE0078F}">
  <dimension ref="A2:H149"/>
  <sheetViews>
    <sheetView topLeftCell="A56" workbookViewId="0">
      <selection activeCell="J149" sqref="J149"/>
    </sheetView>
  </sheetViews>
  <sheetFormatPr baseColWidth="10" defaultRowHeight="16"/>
  <cols>
    <col min="1" max="1" width="30.85546875" customWidth="1"/>
    <col min="2" max="2" width="12" bestFit="1" customWidth="1"/>
  </cols>
  <sheetData>
    <row r="2" spans="2:8" ht="17">
      <c r="B2" s="12" t="s">
        <v>11</v>
      </c>
      <c r="C2" s="12" t="s">
        <v>27</v>
      </c>
    </row>
    <row r="3" spans="2:8" ht="17">
      <c r="B3" s="10" t="s">
        <v>13</v>
      </c>
      <c r="C3" s="11">
        <f>SUMIF(アイスクリームの売り上げデータ!$B3:$B367, "=1", アイスクリームの売り上げデータ!$G3:$G367)</f>
        <v>11641</v>
      </c>
    </row>
    <row r="4" spans="2:8" ht="17">
      <c r="B4" s="10" t="s">
        <v>14</v>
      </c>
      <c r="C4" s="11">
        <f>SUMIF(アイスクリームの売り上げデータ!$B4:$B368, "=2", アイスクリームの売り上げデータ!$G4:$G368)</f>
        <v>5982</v>
      </c>
    </row>
    <row r="5" spans="2:8" ht="17">
      <c r="B5" s="10" t="s">
        <v>15</v>
      </c>
      <c r="C5" s="11">
        <f>SUMIF(アイスクリームの売り上げデータ!$B5:$B369, "=3", アイスクリームの売り上げデータ!$G5:$G369)</f>
        <v>7383</v>
      </c>
    </row>
    <row r="6" spans="2:8" ht="17">
      <c r="B6" s="10" t="s">
        <v>16</v>
      </c>
      <c r="C6" s="11">
        <f>SUMIF(アイスクリームの売り上げデータ!$B6:$B370, "=4", アイスクリームの売り上げデータ!$G6:$G370)</f>
        <v>8601</v>
      </c>
    </row>
    <row r="7" spans="2:8" ht="17">
      <c r="B7" s="10" t="s">
        <v>17</v>
      </c>
      <c r="C7" s="11">
        <f>SUMIF(アイスクリームの売り上げデータ!$B7:$B371, "=5", アイスクリームの売り上げデータ!$G7:$G371)</f>
        <v>7393</v>
      </c>
    </row>
    <row r="8" spans="2:8" ht="17">
      <c r="B8" s="10" t="s">
        <v>18</v>
      </c>
      <c r="C8" s="11">
        <f>SUMIF(アイスクリームの売り上げデータ!$B8:$B372, "=6", アイスクリームの売り上げデータ!$G8:$G372)</f>
        <v>7171</v>
      </c>
    </row>
    <row r="9" spans="2:8" ht="17">
      <c r="B9" s="10" t="s">
        <v>19</v>
      </c>
      <c r="C9" s="11">
        <f>SUMIF(アイスクリームの売り上げデータ!$B9:$B373, "=7", アイスクリームの売り上げデータ!$G9:$G373)</f>
        <v>9406</v>
      </c>
    </row>
    <row r="11" spans="2:8" ht="17">
      <c r="B11" s="12" t="s">
        <v>13</v>
      </c>
      <c r="C11" s="12" t="s">
        <v>14</v>
      </c>
      <c r="D11" s="12" t="s">
        <v>15</v>
      </c>
      <c r="E11" s="12" t="s">
        <v>16</v>
      </c>
      <c r="F11" s="12" t="s">
        <v>17</v>
      </c>
      <c r="G11" s="12" t="s">
        <v>18</v>
      </c>
      <c r="H11" s="12" t="s">
        <v>19</v>
      </c>
    </row>
    <row r="12" spans="2:8">
      <c r="B12" s="11" cm="1">
        <f t="array" ref="B12:B63">_xlfn._xlws.FILTER(アイスクリームの売り上げデータ!$G3:$G367, アイスクリームの売り上げデータ!$B3:$B367=1)</f>
        <v>206</v>
      </c>
      <c r="C12" s="11" cm="1">
        <f t="array" ref="C12:C63">_xlfn._xlws.FILTER(アイスクリームの売り上げデータ!$G3:$G367, アイスクリームの売り上げデータ!$B3:$B367=2)</f>
        <v>90</v>
      </c>
      <c r="D12" s="11" cm="1">
        <f t="array" ref="D12:D64">_xlfn._xlws.FILTER(アイスクリームの売り上げデータ!$G3:$G367, アイスクリームの売り上げデータ!$B3:$B367=3)</f>
        <v>101</v>
      </c>
      <c r="E12" s="11" cm="1">
        <f t="array" ref="E12:E63">_xlfn._xlws.FILTER(アイスクリームの売り上げデータ!$G3:$G367, アイスクリームの売り上げデータ!$B3:$B367=4)</f>
        <v>119</v>
      </c>
      <c r="F12" s="11" cm="1">
        <f t="array" ref="F12:F63">_xlfn._xlws.FILTER(アイスクリームの売り上げデータ!$G3:$G367, アイスクリームの売り上げデータ!$B3:$B367=5)</f>
        <v>98</v>
      </c>
      <c r="G12" s="11" cm="1">
        <f t="array" ref="G12:G63">_xlfn._xlws.FILTER(アイスクリームの売り上げデータ!$G3:$G367, アイスクリームの売り上げデータ!$B3:$B367=6)</f>
        <v>106</v>
      </c>
      <c r="H12" s="11" cm="1">
        <f t="array" ref="H12:H63">_xlfn._xlws.FILTER(アイスクリームの売り上げデータ!$G3:$G367, アイスクリームの売り上げデータ!$B3:$B367=7)</f>
        <v>174</v>
      </c>
    </row>
    <row r="13" spans="2:8">
      <c r="B13" s="11">
        <v>176</v>
      </c>
      <c r="C13" s="11">
        <v>87</v>
      </c>
      <c r="D13" s="11">
        <v>110</v>
      </c>
      <c r="E13" s="11">
        <v>117</v>
      </c>
      <c r="F13" s="11">
        <v>104</v>
      </c>
      <c r="G13" s="11">
        <v>117</v>
      </c>
      <c r="H13" s="11">
        <v>161</v>
      </c>
    </row>
    <row r="14" spans="2:8">
      <c r="B14" s="11">
        <v>187</v>
      </c>
      <c r="C14" s="11">
        <v>90</v>
      </c>
      <c r="D14" s="11">
        <v>100</v>
      </c>
      <c r="E14" s="11">
        <v>130</v>
      </c>
      <c r="F14" s="11">
        <v>117</v>
      </c>
      <c r="G14" s="11">
        <v>102</v>
      </c>
      <c r="H14" s="11">
        <v>160</v>
      </c>
    </row>
    <row r="15" spans="2:8">
      <c r="B15" s="11">
        <v>170</v>
      </c>
      <c r="C15" s="11">
        <v>80</v>
      </c>
      <c r="D15" s="11">
        <v>98</v>
      </c>
      <c r="E15" s="11">
        <v>139</v>
      </c>
      <c r="F15" s="11">
        <v>112</v>
      </c>
      <c r="G15" s="11">
        <v>111</v>
      </c>
      <c r="H15" s="11">
        <v>152</v>
      </c>
    </row>
    <row r="16" spans="2:8">
      <c r="B16" s="11">
        <v>176</v>
      </c>
      <c r="C16" s="11">
        <v>114</v>
      </c>
      <c r="D16" s="11">
        <v>115</v>
      </c>
      <c r="E16" s="11">
        <v>120</v>
      </c>
      <c r="F16" s="11">
        <v>94</v>
      </c>
      <c r="G16" s="11">
        <v>97</v>
      </c>
      <c r="H16" s="11">
        <v>149</v>
      </c>
    </row>
    <row r="17" spans="2:8">
      <c r="B17" s="11">
        <v>162</v>
      </c>
      <c r="C17" s="11">
        <v>81</v>
      </c>
      <c r="D17" s="11">
        <v>122</v>
      </c>
      <c r="E17" s="11">
        <v>119</v>
      </c>
      <c r="F17" s="11">
        <v>123</v>
      </c>
      <c r="G17" s="11">
        <v>110</v>
      </c>
      <c r="H17" s="11">
        <v>125</v>
      </c>
    </row>
    <row r="18" spans="2:8">
      <c r="B18" s="11">
        <v>186</v>
      </c>
      <c r="C18" s="11">
        <v>90</v>
      </c>
      <c r="D18" s="11">
        <v>101</v>
      </c>
      <c r="E18" s="11">
        <v>124</v>
      </c>
      <c r="F18" s="11">
        <v>97</v>
      </c>
      <c r="G18" s="11">
        <v>98</v>
      </c>
      <c r="H18" s="11">
        <v>166</v>
      </c>
    </row>
    <row r="19" spans="2:8">
      <c r="B19" s="11">
        <v>182</v>
      </c>
      <c r="C19" s="11">
        <v>109</v>
      </c>
      <c r="D19" s="11">
        <v>127</v>
      </c>
      <c r="E19" s="11">
        <v>165</v>
      </c>
      <c r="F19" s="11">
        <v>115</v>
      </c>
      <c r="G19" s="11">
        <v>125</v>
      </c>
      <c r="H19" s="11">
        <v>173</v>
      </c>
    </row>
    <row r="20" spans="2:8">
      <c r="B20" s="11">
        <v>158</v>
      </c>
      <c r="C20" s="11">
        <v>58</v>
      </c>
      <c r="D20" s="11">
        <v>116</v>
      </c>
      <c r="E20" s="11">
        <v>143</v>
      </c>
      <c r="F20" s="11">
        <v>86</v>
      </c>
      <c r="G20" s="11">
        <v>110</v>
      </c>
      <c r="H20" s="11">
        <v>166</v>
      </c>
    </row>
    <row r="21" spans="2:8">
      <c r="B21" s="11">
        <v>207</v>
      </c>
      <c r="C21" s="11">
        <v>79</v>
      </c>
      <c r="D21" s="11">
        <v>134</v>
      </c>
      <c r="E21" s="11">
        <v>150</v>
      </c>
      <c r="F21" s="11">
        <v>86</v>
      </c>
      <c r="G21" s="11">
        <v>126</v>
      </c>
      <c r="H21" s="11">
        <v>154</v>
      </c>
    </row>
    <row r="22" spans="2:8">
      <c r="B22" s="11">
        <v>222</v>
      </c>
      <c r="C22" s="11">
        <v>100</v>
      </c>
      <c r="D22" s="11">
        <v>132</v>
      </c>
      <c r="E22" s="11">
        <v>140</v>
      </c>
      <c r="F22" s="11">
        <v>109</v>
      </c>
      <c r="G22" s="11">
        <v>120</v>
      </c>
      <c r="H22" s="11">
        <v>164</v>
      </c>
    </row>
    <row r="23" spans="2:8">
      <c r="B23" s="11">
        <v>218</v>
      </c>
      <c r="C23" s="11">
        <v>91</v>
      </c>
      <c r="D23" s="11">
        <v>134</v>
      </c>
      <c r="E23" s="11">
        <v>158</v>
      </c>
      <c r="F23" s="11">
        <v>140</v>
      </c>
      <c r="G23" s="11">
        <v>136</v>
      </c>
      <c r="H23" s="11">
        <v>156</v>
      </c>
    </row>
    <row r="24" spans="2:8">
      <c r="B24" s="11">
        <v>220</v>
      </c>
      <c r="C24" s="11">
        <v>89</v>
      </c>
      <c r="D24" s="11">
        <v>126</v>
      </c>
      <c r="E24" s="11">
        <v>162</v>
      </c>
      <c r="F24" s="11">
        <v>137</v>
      </c>
      <c r="G24" s="11">
        <v>105</v>
      </c>
      <c r="H24" s="11">
        <v>171</v>
      </c>
    </row>
    <row r="25" spans="2:8">
      <c r="B25" s="11">
        <v>245</v>
      </c>
      <c r="C25" s="11">
        <v>96</v>
      </c>
      <c r="D25" s="11">
        <v>126</v>
      </c>
      <c r="E25" s="11">
        <v>149</v>
      </c>
      <c r="F25" s="11">
        <v>127</v>
      </c>
      <c r="G25" s="11">
        <v>130</v>
      </c>
      <c r="H25" s="11">
        <v>173</v>
      </c>
    </row>
    <row r="26" spans="2:8">
      <c r="B26" s="11">
        <v>202</v>
      </c>
      <c r="C26" s="11">
        <v>114</v>
      </c>
      <c r="D26" s="11">
        <v>117</v>
      </c>
      <c r="E26" s="11">
        <v>100</v>
      </c>
      <c r="F26" s="11">
        <v>121</v>
      </c>
      <c r="G26" s="11">
        <v>119</v>
      </c>
      <c r="H26" s="11">
        <v>193</v>
      </c>
    </row>
    <row r="27" spans="2:8">
      <c r="B27" s="11">
        <v>235</v>
      </c>
      <c r="C27" s="11">
        <v>131</v>
      </c>
      <c r="D27" s="11">
        <v>146</v>
      </c>
      <c r="E27" s="11">
        <v>165</v>
      </c>
      <c r="F27" s="11">
        <v>141</v>
      </c>
      <c r="G27" s="11">
        <v>161</v>
      </c>
      <c r="H27" s="11">
        <v>202</v>
      </c>
    </row>
    <row r="28" spans="2:8">
      <c r="B28" s="11">
        <v>224</v>
      </c>
      <c r="C28" s="11">
        <v>126</v>
      </c>
      <c r="D28" s="11">
        <v>162</v>
      </c>
      <c r="E28" s="11">
        <v>177</v>
      </c>
      <c r="F28" s="11">
        <v>155</v>
      </c>
      <c r="G28" s="11">
        <v>131</v>
      </c>
      <c r="H28" s="11">
        <v>157</v>
      </c>
    </row>
    <row r="29" spans="2:8">
      <c r="B29" s="11">
        <v>218</v>
      </c>
      <c r="C29" s="11">
        <v>124</v>
      </c>
      <c r="D29" s="11">
        <v>123</v>
      </c>
      <c r="E29" s="11">
        <v>147</v>
      </c>
      <c r="F29" s="11">
        <v>157</v>
      </c>
      <c r="G29" s="11">
        <v>148</v>
      </c>
      <c r="H29" s="11">
        <v>216</v>
      </c>
    </row>
    <row r="30" spans="2:8">
      <c r="B30" s="11">
        <v>236</v>
      </c>
      <c r="C30" s="11">
        <v>127</v>
      </c>
      <c r="D30" s="11">
        <v>135</v>
      </c>
      <c r="E30" s="11">
        <v>178</v>
      </c>
      <c r="F30" s="11">
        <v>163</v>
      </c>
      <c r="G30" s="11">
        <v>155</v>
      </c>
      <c r="H30" s="11">
        <v>217</v>
      </c>
    </row>
    <row r="31" spans="2:8">
      <c r="B31" s="11">
        <v>240</v>
      </c>
      <c r="C31" s="11">
        <v>134</v>
      </c>
      <c r="D31" s="11">
        <v>139</v>
      </c>
      <c r="E31" s="11">
        <v>181</v>
      </c>
      <c r="F31" s="11">
        <v>159</v>
      </c>
      <c r="G31" s="11">
        <v>162</v>
      </c>
      <c r="H31" s="11">
        <v>194</v>
      </c>
    </row>
    <row r="32" spans="2:8">
      <c r="B32" s="11">
        <v>248</v>
      </c>
      <c r="C32" s="11">
        <v>149</v>
      </c>
      <c r="D32" s="11">
        <v>69</v>
      </c>
      <c r="E32" s="11">
        <v>183</v>
      </c>
      <c r="F32" s="11">
        <v>151</v>
      </c>
      <c r="G32" s="11">
        <v>172</v>
      </c>
      <c r="H32" s="11">
        <v>231</v>
      </c>
    </row>
    <row r="33" spans="2:8">
      <c r="B33" s="11">
        <v>227</v>
      </c>
      <c r="C33" s="11">
        <v>140</v>
      </c>
      <c r="D33" s="11">
        <v>168</v>
      </c>
      <c r="E33" s="11">
        <v>174</v>
      </c>
      <c r="F33" s="11">
        <v>164</v>
      </c>
      <c r="G33" s="11">
        <v>175</v>
      </c>
      <c r="H33" s="11">
        <v>207</v>
      </c>
    </row>
    <row r="34" spans="2:8">
      <c r="B34" s="11">
        <v>212</v>
      </c>
      <c r="C34" s="11">
        <v>31</v>
      </c>
      <c r="D34" s="11">
        <v>168</v>
      </c>
      <c r="E34" s="11">
        <v>178</v>
      </c>
      <c r="F34" s="11">
        <v>167</v>
      </c>
      <c r="G34" s="11">
        <v>137</v>
      </c>
      <c r="H34" s="11">
        <v>215</v>
      </c>
    </row>
    <row r="35" spans="2:8">
      <c r="B35" s="11">
        <v>234</v>
      </c>
      <c r="C35" s="11">
        <v>155</v>
      </c>
      <c r="D35" s="11">
        <v>155</v>
      </c>
      <c r="E35" s="11">
        <v>160</v>
      </c>
      <c r="F35" s="11">
        <v>151</v>
      </c>
      <c r="G35" s="11">
        <v>176</v>
      </c>
      <c r="H35" s="11">
        <v>144</v>
      </c>
    </row>
    <row r="36" spans="2:8">
      <c r="B36" s="11">
        <v>245</v>
      </c>
      <c r="C36" s="11">
        <v>102</v>
      </c>
      <c r="D36" s="11">
        <v>181</v>
      </c>
      <c r="E36" s="11">
        <v>190</v>
      </c>
      <c r="F36" s="11">
        <v>183</v>
      </c>
      <c r="G36" s="11">
        <v>184</v>
      </c>
      <c r="H36" s="11">
        <v>219</v>
      </c>
    </row>
    <row r="37" spans="2:8">
      <c r="B37" s="11">
        <v>240</v>
      </c>
      <c r="C37" s="11">
        <v>135</v>
      </c>
      <c r="D37" s="11">
        <v>157</v>
      </c>
      <c r="E37" s="11">
        <v>191</v>
      </c>
      <c r="F37" s="11">
        <v>169</v>
      </c>
      <c r="G37" s="11">
        <v>183</v>
      </c>
      <c r="H37" s="11">
        <v>203</v>
      </c>
    </row>
    <row r="38" spans="2:8">
      <c r="B38" s="11">
        <v>214</v>
      </c>
      <c r="C38" s="11">
        <v>146</v>
      </c>
      <c r="D38" s="11">
        <v>185</v>
      </c>
      <c r="E38" s="11">
        <v>204</v>
      </c>
      <c r="F38" s="11">
        <v>167</v>
      </c>
      <c r="G38" s="11">
        <v>160</v>
      </c>
      <c r="H38" s="11">
        <v>194</v>
      </c>
    </row>
    <row r="39" spans="2:8">
      <c r="B39" s="11">
        <v>225</v>
      </c>
      <c r="C39" s="11">
        <v>133</v>
      </c>
      <c r="D39" s="11">
        <v>165</v>
      </c>
      <c r="E39" s="11">
        <v>197</v>
      </c>
      <c r="F39" s="11">
        <v>163</v>
      </c>
      <c r="G39" s="11">
        <v>151</v>
      </c>
      <c r="H39" s="11">
        <v>202</v>
      </c>
    </row>
    <row r="40" spans="2:8">
      <c r="B40" s="11">
        <v>250</v>
      </c>
      <c r="C40" s="11">
        <v>148</v>
      </c>
      <c r="D40" s="11">
        <v>138</v>
      </c>
      <c r="E40" s="11">
        <v>182</v>
      </c>
      <c r="F40" s="11">
        <v>165</v>
      </c>
      <c r="G40" s="11">
        <v>167</v>
      </c>
      <c r="H40" s="11">
        <v>230</v>
      </c>
    </row>
    <row r="41" spans="2:8">
      <c r="B41" s="11">
        <v>267</v>
      </c>
      <c r="C41" s="11">
        <v>173</v>
      </c>
      <c r="D41" s="11">
        <v>169</v>
      </c>
      <c r="E41" s="11">
        <v>198</v>
      </c>
      <c r="F41" s="11">
        <v>192</v>
      </c>
      <c r="G41" s="11">
        <v>184</v>
      </c>
      <c r="H41" s="11">
        <v>230</v>
      </c>
    </row>
    <row r="42" spans="2:8">
      <c r="B42" s="11">
        <v>269</v>
      </c>
      <c r="C42" s="11">
        <v>165</v>
      </c>
      <c r="D42" s="11">
        <v>190</v>
      </c>
      <c r="E42" s="11">
        <v>215</v>
      </c>
      <c r="F42" s="11">
        <v>203</v>
      </c>
      <c r="G42" s="11">
        <v>189</v>
      </c>
      <c r="H42" s="11">
        <v>252</v>
      </c>
    </row>
    <row r="43" spans="2:8">
      <c r="B43" s="11">
        <v>276</v>
      </c>
      <c r="C43" s="11">
        <v>161</v>
      </c>
      <c r="D43" s="11">
        <v>190</v>
      </c>
      <c r="E43" s="11">
        <v>223</v>
      </c>
      <c r="F43" s="11">
        <v>186</v>
      </c>
      <c r="G43" s="11">
        <v>187</v>
      </c>
      <c r="H43" s="11">
        <v>239</v>
      </c>
    </row>
    <row r="44" spans="2:8">
      <c r="B44" s="11">
        <v>291</v>
      </c>
      <c r="C44" s="11">
        <v>168</v>
      </c>
      <c r="D44" s="11">
        <v>184</v>
      </c>
      <c r="E44" s="11">
        <v>215</v>
      </c>
      <c r="F44" s="11">
        <v>166</v>
      </c>
      <c r="G44" s="11">
        <v>198</v>
      </c>
      <c r="H44" s="11">
        <v>242</v>
      </c>
    </row>
    <row r="45" spans="2:8">
      <c r="B45" s="11">
        <v>259</v>
      </c>
      <c r="C45" s="11">
        <v>158</v>
      </c>
      <c r="D45" s="11">
        <v>182</v>
      </c>
      <c r="E45" s="11">
        <v>210</v>
      </c>
      <c r="F45" s="11">
        <v>169</v>
      </c>
      <c r="G45" s="11">
        <v>176</v>
      </c>
      <c r="H45" s="11">
        <v>236</v>
      </c>
    </row>
    <row r="46" spans="2:8">
      <c r="B46" s="11">
        <v>260</v>
      </c>
      <c r="C46" s="11">
        <v>163</v>
      </c>
      <c r="D46" s="11">
        <v>182</v>
      </c>
      <c r="E46" s="11">
        <v>194</v>
      </c>
      <c r="F46" s="11">
        <v>182</v>
      </c>
      <c r="G46" s="11">
        <v>174</v>
      </c>
      <c r="H46" s="11">
        <v>223</v>
      </c>
    </row>
    <row r="47" spans="2:8">
      <c r="B47" s="11">
        <v>242</v>
      </c>
      <c r="C47" s="11">
        <v>42</v>
      </c>
      <c r="D47" s="11">
        <v>174</v>
      </c>
      <c r="E47" s="11">
        <v>198</v>
      </c>
      <c r="F47" s="11">
        <v>183</v>
      </c>
      <c r="G47" s="11">
        <v>196</v>
      </c>
      <c r="H47" s="11">
        <v>239</v>
      </c>
    </row>
    <row r="48" spans="2:8">
      <c r="B48" s="11">
        <v>276</v>
      </c>
      <c r="C48" s="11">
        <v>122</v>
      </c>
      <c r="D48" s="11">
        <v>185</v>
      </c>
      <c r="E48" s="11">
        <v>210</v>
      </c>
      <c r="F48" s="11">
        <v>173</v>
      </c>
      <c r="G48" s="11">
        <v>160</v>
      </c>
      <c r="H48" s="11">
        <v>224</v>
      </c>
    </row>
    <row r="49" spans="2:8">
      <c r="B49" s="11">
        <v>235</v>
      </c>
      <c r="C49" s="11">
        <v>152</v>
      </c>
      <c r="D49" s="11">
        <v>169</v>
      </c>
      <c r="E49" s="11">
        <v>164</v>
      </c>
      <c r="F49" s="11">
        <v>172</v>
      </c>
      <c r="G49" s="11">
        <v>158</v>
      </c>
      <c r="H49" s="11">
        <v>210</v>
      </c>
    </row>
    <row r="50" spans="2:8">
      <c r="B50" s="11">
        <v>256</v>
      </c>
      <c r="C50" s="11">
        <v>162</v>
      </c>
      <c r="D50" s="11">
        <v>180</v>
      </c>
      <c r="E50" s="11">
        <v>208</v>
      </c>
      <c r="F50" s="11">
        <v>181</v>
      </c>
      <c r="G50" s="11">
        <v>176</v>
      </c>
      <c r="H50" s="11">
        <v>213</v>
      </c>
    </row>
    <row r="51" spans="2:8">
      <c r="B51" s="11">
        <v>217</v>
      </c>
      <c r="C51" s="11">
        <v>138</v>
      </c>
      <c r="D51" s="11">
        <v>174</v>
      </c>
      <c r="E51" s="11">
        <v>193</v>
      </c>
      <c r="F51" s="11">
        <v>171</v>
      </c>
      <c r="G51" s="11">
        <v>161</v>
      </c>
      <c r="H51" s="11">
        <v>236</v>
      </c>
    </row>
    <row r="52" spans="2:8">
      <c r="B52" s="11">
        <v>249</v>
      </c>
      <c r="C52" s="11">
        <v>124</v>
      </c>
      <c r="D52" s="11">
        <v>166</v>
      </c>
      <c r="E52" s="11">
        <v>196</v>
      </c>
      <c r="F52" s="11">
        <v>154</v>
      </c>
      <c r="G52" s="11">
        <v>150</v>
      </c>
      <c r="H52" s="11">
        <v>0</v>
      </c>
    </row>
    <row r="53" spans="2:8">
      <c r="B53" s="11">
        <v>252</v>
      </c>
      <c r="C53" s="11">
        <v>115</v>
      </c>
      <c r="D53" s="11">
        <v>146</v>
      </c>
      <c r="E53" s="11">
        <v>170</v>
      </c>
      <c r="F53" s="11">
        <v>147</v>
      </c>
      <c r="G53" s="11">
        <v>135</v>
      </c>
      <c r="H53" s="11">
        <v>123</v>
      </c>
    </row>
    <row r="54" spans="2:8">
      <c r="B54" s="11">
        <v>249</v>
      </c>
      <c r="C54" s="11">
        <v>132</v>
      </c>
      <c r="D54" s="11">
        <v>84</v>
      </c>
      <c r="E54" s="11">
        <v>184</v>
      </c>
      <c r="F54" s="11">
        <v>139</v>
      </c>
      <c r="G54" s="11">
        <v>7</v>
      </c>
      <c r="H54" s="11">
        <v>206</v>
      </c>
    </row>
    <row r="55" spans="2:8">
      <c r="B55" s="11">
        <v>213</v>
      </c>
      <c r="C55" s="11">
        <v>115</v>
      </c>
      <c r="D55" s="11">
        <v>116</v>
      </c>
      <c r="E55" s="11">
        <v>182</v>
      </c>
      <c r="F55" s="11">
        <v>146</v>
      </c>
      <c r="G55" s="11">
        <v>153</v>
      </c>
      <c r="H55" s="11">
        <v>198</v>
      </c>
    </row>
    <row r="56" spans="2:8">
      <c r="B56" s="11">
        <v>238</v>
      </c>
      <c r="C56" s="11">
        <v>113</v>
      </c>
      <c r="D56" s="11">
        <v>128</v>
      </c>
      <c r="E56" s="11">
        <v>160</v>
      </c>
      <c r="F56" s="11">
        <v>136</v>
      </c>
      <c r="G56" s="11">
        <v>132</v>
      </c>
      <c r="H56" s="11">
        <v>168</v>
      </c>
    </row>
    <row r="57" spans="2:8">
      <c r="B57" s="11">
        <v>226</v>
      </c>
      <c r="C57" s="11">
        <v>114</v>
      </c>
      <c r="D57" s="11">
        <v>145</v>
      </c>
      <c r="E57" s="11">
        <v>152</v>
      </c>
      <c r="F57" s="11">
        <v>140</v>
      </c>
      <c r="G57" s="11">
        <v>136</v>
      </c>
      <c r="H57" s="11">
        <v>168</v>
      </c>
    </row>
    <row r="58" spans="2:8">
      <c r="B58" s="11">
        <v>226</v>
      </c>
      <c r="C58" s="11">
        <v>128</v>
      </c>
      <c r="D58" s="11">
        <v>152</v>
      </c>
      <c r="E58" s="11">
        <v>166</v>
      </c>
      <c r="F58" s="11">
        <v>134</v>
      </c>
      <c r="G58" s="11">
        <v>62</v>
      </c>
      <c r="H58" s="11">
        <v>117</v>
      </c>
    </row>
    <row r="59" spans="2:8">
      <c r="B59" s="11">
        <v>211</v>
      </c>
      <c r="C59" s="11">
        <v>60</v>
      </c>
      <c r="D59" s="11">
        <v>113</v>
      </c>
      <c r="E59" s="11">
        <v>128</v>
      </c>
      <c r="F59" s="11">
        <v>109</v>
      </c>
      <c r="G59" s="11">
        <v>96</v>
      </c>
      <c r="H59" s="11">
        <v>143</v>
      </c>
    </row>
    <row r="60" spans="2:8">
      <c r="B60" s="11">
        <v>196</v>
      </c>
      <c r="C60" s="11">
        <v>80</v>
      </c>
      <c r="D60" s="11">
        <v>129</v>
      </c>
      <c r="E60" s="11">
        <v>162</v>
      </c>
      <c r="F60" s="11">
        <v>115</v>
      </c>
      <c r="G60" s="11">
        <v>112</v>
      </c>
      <c r="H60" s="11">
        <v>143</v>
      </c>
    </row>
    <row r="61" spans="2:8">
      <c r="B61" s="11">
        <v>212</v>
      </c>
      <c r="C61" s="11">
        <v>83</v>
      </c>
      <c r="D61" s="11">
        <v>113</v>
      </c>
      <c r="E61" s="11">
        <v>156</v>
      </c>
      <c r="F61" s="11">
        <v>144</v>
      </c>
      <c r="G61" s="11">
        <v>108</v>
      </c>
      <c r="H61" s="11">
        <v>169</v>
      </c>
    </row>
    <row r="62" spans="2:8">
      <c r="B62" s="11">
        <v>157</v>
      </c>
      <c r="C62" s="11">
        <v>77</v>
      </c>
      <c r="D62" s="11">
        <v>126</v>
      </c>
      <c r="E62" s="11">
        <v>151</v>
      </c>
      <c r="F62" s="11">
        <v>121</v>
      </c>
      <c r="G62" s="11">
        <v>128</v>
      </c>
      <c r="H62" s="11">
        <v>165</v>
      </c>
    </row>
    <row r="63" spans="2:8">
      <c r="B63" s="11">
        <v>199</v>
      </c>
      <c r="C63" s="11">
        <v>88</v>
      </c>
      <c r="D63" s="11">
        <v>120</v>
      </c>
      <c r="E63" s="11">
        <v>143</v>
      </c>
      <c r="F63" s="11">
        <v>107</v>
      </c>
      <c r="G63" s="11">
        <v>125</v>
      </c>
      <c r="H63" s="11">
        <v>168</v>
      </c>
    </row>
    <row r="64" spans="2:8">
      <c r="B64" s="11"/>
      <c r="C64" s="11"/>
      <c r="D64" s="11">
        <v>117</v>
      </c>
      <c r="E64" s="11"/>
      <c r="F64" s="11"/>
      <c r="G64" s="11"/>
      <c r="H64" s="11"/>
    </row>
    <row r="66" spans="1:8" ht="17">
      <c r="B66" s="12" t="s">
        <v>13</v>
      </c>
      <c r="C66" s="12" t="s">
        <v>14</v>
      </c>
      <c r="D66" s="12" t="s">
        <v>15</v>
      </c>
      <c r="E66" s="12" t="s">
        <v>16</v>
      </c>
      <c r="F66" s="12" t="s">
        <v>17</v>
      </c>
      <c r="G66" s="12" t="s">
        <v>18</v>
      </c>
      <c r="H66" s="12" t="s">
        <v>19</v>
      </c>
    </row>
    <row r="67" spans="1:8" ht="17">
      <c r="A67" s="12" t="s">
        <v>26</v>
      </c>
      <c r="B67" s="11">
        <f>COUNT(B12:B64)</f>
        <v>52</v>
      </c>
      <c r="C67" s="11">
        <f t="shared" ref="C67:H67" si="0">COUNT(C12:C64)</f>
        <v>52</v>
      </c>
      <c r="D67" s="11">
        <f t="shared" si="0"/>
        <v>53</v>
      </c>
      <c r="E67" s="11">
        <f t="shared" si="0"/>
        <v>52</v>
      </c>
      <c r="F67" s="11">
        <f t="shared" si="0"/>
        <v>52</v>
      </c>
      <c r="G67" s="11">
        <f t="shared" si="0"/>
        <v>52</v>
      </c>
      <c r="H67" s="11">
        <f t="shared" si="0"/>
        <v>52</v>
      </c>
    </row>
    <row r="68" spans="1:8" ht="17">
      <c r="A68" s="12" t="s">
        <v>20</v>
      </c>
      <c r="B68" s="11">
        <f t="shared" ref="B68:H68" si="1">AVERAGE(B12:B64)</f>
        <v>223.86538461538461</v>
      </c>
      <c r="C68" s="11">
        <f t="shared" si="1"/>
        <v>115.03846153846153</v>
      </c>
      <c r="D68" s="11">
        <f t="shared" si="1"/>
        <v>141.20754716981133</v>
      </c>
      <c r="E68" s="11">
        <f t="shared" si="1"/>
        <v>167.69230769230768</v>
      </c>
      <c r="F68" s="11">
        <f t="shared" si="1"/>
        <v>144.05769230769232</v>
      </c>
      <c r="G68" s="11">
        <f t="shared" si="1"/>
        <v>139.94230769230768</v>
      </c>
      <c r="H68" s="11">
        <f t="shared" si="1"/>
        <v>184.23076923076923</v>
      </c>
    </row>
    <row r="69" spans="1:8" ht="17">
      <c r="A69" s="12" t="s">
        <v>25</v>
      </c>
      <c r="B69" s="11">
        <f t="shared" ref="B69:H69" si="2">MIN(B12:B64)</f>
        <v>157</v>
      </c>
      <c r="C69" s="11">
        <f t="shared" si="2"/>
        <v>31</v>
      </c>
      <c r="D69" s="11">
        <f t="shared" si="2"/>
        <v>69</v>
      </c>
      <c r="E69" s="11">
        <f t="shared" si="2"/>
        <v>100</v>
      </c>
      <c r="F69" s="11">
        <f t="shared" si="2"/>
        <v>86</v>
      </c>
      <c r="G69" s="11">
        <f t="shared" si="2"/>
        <v>7</v>
      </c>
      <c r="H69" s="11">
        <f t="shared" si="2"/>
        <v>0</v>
      </c>
    </row>
    <row r="70" spans="1:8" ht="17">
      <c r="A70" s="12" t="s">
        <v>21</v>
      </c>
      <c r="B70" s="11">
        <f t="shared" ref="B70:H70" si="3">MEDIAN(B12:B64)</f>
        <v>225.5</v>
      </c>
      <c r="C70" s="11">
        <f t="shared" si="3"/>
        <v>115</v>
      </c>
      <c r="D70" s="11">
        <f t="shared" si="3"/>
        <v>135</v>
      </c>
      <c r="E70" s="11">
        <f t="shared" si="3"/>
        <v>165.5</v>
      </c>
      <c r="F70" s="11">
        <f t="shared" si="3"/>
        <v>146.5</v>
      </c>
      <c r="G70" s="11">
        <f t="shared" si="3"/>
        <v>136.5</v>
      </c>
      <c r="H70" s="11">
        <f t="shared" si="3"/>
        <v>183.5</v>
      </c>
    </row>
    <row r="71" spans="1:8" ht="17">
      <c r="A71" s="12" t="s">
        <v>24</v>
      </c>
      <c r="B71" s="11">
        <f t="shared" ref="B71:H71" si="4">MAX(B12:B64)</f>
        <v>291</v>
      </c>
      <c r="C71" s="11">
        <f t="shared" si="4"/>
        <v>173</v>
      </c>
      <c r="D71" s="11">
        <f t="shared" si="4"/>
        <v>190</v>
      </c>
      <c r="E71" s="11">
        <f t="shared" si="4"/>
        <v>223</v>
      </c>
      <c r="F71" s="11">
        <f t="shared" si="4"/>
        <v>203</v>
      </c>
      <c r="G71" s="11">
        <f t="shared" si="4"/>
        <v>198</v>
      </c>
      <c r="H71" s="11">
        <f t="shared" si="4"/>
        <v>252</v>
      </c>
    </row>
    <row r="73" spans="1:8" ht="17">
      <c r="B73" s="13" t="s">
        <v>13</v>
      </c>
      <c r="C73" s="13" t="s">
        <v>14</v>
      </c>
      <c r="D73" s="13" t="s">
        <v>15</v>
      </c>
      <c r="E73" s="13" t="s">
        <v>16</v>
      </c>
      <c r="F73" s="13" t="s">
        <v>17</v>
      </c>
      <c r="G73" s="13" t="s">
        <v>18</v>
      </c>
      <c r="H73" s="13" t="s">
        <v>19</v>
      </c>
    </row>
    <row r="74" spans="1:8" ht="17">
      <c r="A74" s="12" t="s">
        <v>30</v>
      </c>
      <c r="B74" s="11">
        <f>_xlfn.QUARTILE.INC(B12:B64, 0)</f>
        <v>157</v>
      </c>
      <c r="C74" s="11">
        <f t="shared" ref="C74:H74" si="5">_xlfn.QUARTILE.INC(C12:C64, 0)</f>
        <v>31</v>
      </c>
      <c r="D74" s="11">
        <f t="shared" si="5"/>
        <v>69</v>
      </c>
      <c r="E74" s="11">
        <f t="shared" si="5"/>
        <v>100</v>
      </c>
      <c r="F74" s="11">
        <f t="shared" si="5"/>
        <v>86</v>
      </c>
      <c r="G74" s="11">
        <f t="shared" si="5"/>
        <v>7</v>
      </c>
      <c r="H74" s="11">
        <f t="shared" si="5"/>
        <v>0</v>
      </c>
    </row>
    <row r="75" spans="1:8" ht="17">
      <c r="A75" s="12" t="s">
        <v>22</v>
      </c>
      <c r="B75" s="11">
        <f t="shared" ref="B75:H75" si="6">_xlfn.QUARTILE.INC(B12:B64, 1)</f>
        <v>206.75</v>
      </c>
      <c r="C75" s="11">
        <f t="shared" si="6"/>
        <v>89.75</v>
      </c>
      <c r="D75" s="11">
        <f t="shared" si="6"/>
        <v>117</v>
      </c>
      <c r="E75" s="11">
        <f t="shared" si="6"/>
        <v>148.5</v>
      </c>
      <c r="F75" s="11">
        <f t="shared" si="6"/>
        <v>120</v>
      </c>
      <c r="G75" s="11">
        <f t="shared" si="6"/>
        <v>115.75</v>
      </c>
      <c r="H75" s="11">
        <f t="shared" si="6"/>
        <v>160.75</v>
      </c>
    </row>
    <row r="76" spans="1:8" ht="17">
      <c r="A76" s="12" t="s">
        <v>28</v>
      </c>
      <c r="B76" s="11">
        <f t="shared" ref="B76:H76" si="7">_xlfn.QUARTILE.INC(B12:B64, 2)</f>
        <v>225.5</v>
      </c>
      <c r="C76" s="11">
        <f t="shared" si="7"/>
        <v>115</v>
      </c>
      <c r="D76" s="11">
        <f t="shared" si="7"/>
        <v>135</v>
      </c>
      <c r="E76" s="11">
        <f t="shared" si="7"/>
        <v>165.5</v>
      </c>
      <c r="F76" s="11">
        <f t="shared" si="7"/>
        <v>146.5</v>
      </c>
      <c r="G76" s="11">
        <f t="shared" si="7"/>
        <v>136.5</v>
      </c>
      <c r="H76" s="11">
        <f t="shared" si="7"/>
        <v>183.5</v>
      </c>
    </row>
    <row r="77" spans="1:8" ht="17">
      <c r="A77" s="12" t="s">
        <v>23</v>
      </c>
      <c r="B77" s="11">
        <f t="shared" ref="B77:H77" si="8">_xlfn.QUARTILE.INC(B12:B64, 3)</f>
        <v>245.75</v>
      </c>
      <c r="C77" s="11">
        <f t="shared" si="8"/>
        <v>138.5</v>
      </c>
      <c r="D77" s="11">
        <f t="shared" si="8"/>
        <v>168</v>
      </c>
      <c r="E77" s="11">
        <f t="shared" si="8"/>
        <v>191.5</v>
      </c>
      <c r="F77" s="11">
        <f t="shared" si="8"/>
        <v>167</v>
      </c>
      <c r="G77" s="11">
        <f t="shared" si="8"/>
        <v>168.25</v>
      </c>
      <c r="H77" s="11">
        <f t="shared" si="8"/>
        <v>216.25</v>
      </c>
    </row>
    <row r="78" spans="1:8" ht="17">
      <c r="A78" s="12" t="s">
        <v>29</v>
      </c>
      <c r="B78" s="11">
        <f t="shared" ref="B78:H78" si="9">_xlfn.QUARTILE.INC(B12:B64, 4)</f>
        <v>291</v>
      </c>
      <c r="C78" s="11">
        <f t="shared" si="9"/>
        <v>173</v>
      </c>
      <c r="D78" s="11">
        <f t="shared" si="9"/>
        <v>190</v>
      </c>
      <c r="E78" s="11">
        <f t="shared" si="9"/>
        <v>223</v>
      </c>
      <c r="F78" s="11">
        <f t="shared" si="9"/>
        <v>203</v>
      </c>
      <c r="G78" s="11">
        <f t="shared" si="9"/>
        <v>198</v>
      </c>
      <c r="H78" s="11">
        <f t="shared" si="9"/>
        <v>252</v>
      </c>
    </row>
    <row r="79" spans="1:8" ht="17">
      <c r="A79" s="12" t="s">
        <v>32</v>
      </c>
      <c r="B79" s="11">
        <f>B77-B75</f>
        <v>39</v>
      </c>
      <c r="C79" s="11">
        <f t="shared" ref="C79:H79" si="10">C77-C75</f>
        <v>48.75</v>
      </c>
      <c r="D79" s="11">
        <f t="shared" si="10"/>
        <v>51</v>
      </c>
      <c r="E79" s="11">
        <f t="shared" si="10"/>
        <v>43</v>
      </c>
      <c r="F79" s="11">
        <f t="shared" si="10"/>
        <v>47</v>
      </c>
      <c r="G79" s="11">
        <f t="shared" si="10"/>
        <v>52.5</v>
      </c>
      <c r="H79" s="11">
        <f t="shared" si="10"/>
        <v>55.5</v>
      </c>
    </row>
    <row r="80" spans="1:8" ht="17">
      <c r="A80" s="12" t="s">
        <v>33</v>
      </c>
      <c r="B80" s="11">
        <f>B79/2</f>
        <v>19.5</v>
      </c>
      <c r="C80" s="11">
        <f t="shared" ref="C80:H80" si="11">C79/2</f>
        <v>24.375</v>
      </c>
      <c r="D80" s="11">
        <f t="shared" si="11"/>
        <v>25.5</v>
      </c>
      <c r="E80" s="11">
        <f t="shared" si="11"/>
        <v>21.5</v>
      </c>
      <c r="F80" s="11">
        <f t="shared" si="11"/>
        <v>23.5</v>
      </c>
      <c r="G80" s="11">
        <f t="shared" si="11"/>
        <v>26.25</v>
      </c>
      <c r="H80" s="11">
        <f t="shared" si="11"/>
        <v>27.75</v>
      </c>
    </row>
    <row r="81" spans="1:8" ht="17">
      <c r="A81" s="12" t="s">
        <v>35</v>
      </c>
      <c r="B81" s="11">
        <f>B75-3*B80</f>
        <v>148.25</v>
      </c>
      <c r="C81" s="11">
        <f t="shared" ref="C81:H81" si="12">C75-3*C80</f>
        <v>16.625</v>
      </c>
      <c r="D81" s="11">
        <f t="shared" si="12"/>
        <v>40.5</v>
      </c>
      <c r="E81" s="11">
        <f t="shared" si="12"/>
        <v>84</v>
      </c>
      <c r="F81" s="11">
        <f t="shared" si="12"/>
        <v>49.5</v>
      </c>
      <c r="G81" s="11">
        <f t="shared" si="12"/>
        <v>37</v>
      </c>
      <c r="H81" s="11">
        <f t="shared" si="12"/>
        <v>77.5</v>
      </c>
    </row>
    <row r="82" spans="1:8" ht="17">
      <c r="A82" s="12" t="s">
        <v>36</v>
      </c>
      <c r="B82" s="11">
        <f>B77+3*B80</f>
        <v>304.25</v>
      </c>
      <c r="C82" s="11">
        <f t="shared" ref="C82:H82" si="13">C77+3*C80</f>
        <v>211.625</v>
      </c>
      <c r="D82" s="11">
        <f t="shared" si="13"/>
        <v>244.5</v>
      </c>
      <c r="E82" s="11">
        <f t="shared" si="13"/>
        <v>256</v>
      </c>
      <c r="F82" s="11">
        <f t="shared" si="13"/>
        <v>237.5</v>
      </c>
      <c r="G82" s="11">
        <f t="shared" si="13"/>
        <v>247</v>
      </c>
      <c r="H82" s="11">
        <f t="shared" si="13"/>
        <v>299.5</v>
      </c>
    </row>
    <row r="84" spans="1:8" ht="17">
      <c r="B84" s="12" t="s">
        <v>13</v>
      </c>
      <c r="C84" s="12" t="s">
        <v>14</v>
      </c>
      <c r="D84" s="12" t="s">
        <v>15</v>
      </c>
      <c r="E84" s="12" t="s">
        <v>16</v>
      </c>
      <c r="F84" s="12" t="s">
        <v>17</v>
      </c>
      <c r="G84" s="12" t="s">
        <v>18</v>
      </c>
      <c r="H84" s="12" t="s">
        <v>19</v>
      </c>
    </row>
    <row r="85" spans="1:8" ht="17">
      <c r="A85" s="12" t="s">
        <v>31</v>
      </c>
      <c r="B85" s="11">
        <f t="shared" ref="B85:H85" si="14">_xlfn.VAR.P(B12:B64)</f>
        <v>983.34726331360946</v>
      </c>
      <c r="C85" s="11">
        <f t="shared" si="14"/>
        <v>1119.6523668639054</v>
      </c>
      <c r="D85" s="11">
        <f t="shared" si="14"/>
        <v>901.82484870060523</v>
      </c>
      <c r="E85" s="11">
        <f t="shared" si="14"/>
        <v>871.21301775147924</v>
      </c>
      <c r="F85" s="11">
        <f t="shared" si="14"/>
        <v>871.40051775147924</v>
      </c>
      <c r="G85" s="11">
        <f t="shared" si="14"/>
        <v>1309.4005177514794</v>
      </c>
      <c r="H85" s="11">
        <f t="shared" si="14"/>
        <v>1855.9467455621302</v>
      </c>
    </row>
    <row r="86" spans="1:8" ht="17">
      <c r="A86" s="12" t="s">
        <v>34</v>
      </c>
      <c r="B86" s="11">
        <f t="shared" ref="B86:H86" si="15">_xlfn.STDEV.P(B12:B64)</f>
        <v>31.358368313954244</v>
      </c>
      <c r="C86" s="11">
        <f t="shared" si="15"/>
        <v>33.461206894908997</v>
      </c>
      <c r="D86" s="11">
        <f t="shared" si="15"/>
        <v>30.03039874361653</v>
      </c>
      <c r="E86" s="11">
        <f t="shared" si="15"/>
        <v>29.516317821697868</v>
      </c>
      <c r="F86" s="11">
        <f t="shared" si="15"/>
        <v>29.51949386001527</v>
      </c>
      <c r="G86" s="11">
        <f t="shared" si="15"/>
        <v>36.18563966204659</v>
      </c>
      <c r="H86" s="11">
        <f t="shared" si="15"/>
        <v>43.080700383839286</v>
      </c>
    </row>
    <row r="87" spans="1:8" ht="17">
      <c r="A87" s="12" t="s">
        <v>37</v>
      </c>
      <c r="B87" s="11">
        <f t="shared" ref="B87:H87" si="16">B68-3*B86</f>
        <v>129.79027967352187</v>
      </c>
      <c r="C87" s="11">
        <f t="shared" si="16"/>
        <v>14.654840853734541</v>
      </c>
      <c r="D87" s="11">
        <f t="shared" si="16"/>
        <v>51.116350938961745</v>
      </c>
      <c r="E87" s="11">
        <f t="shared" si="16"/>
        <v>79.143354227214076</v>
      </c>
      <c r="F87" s="11">
        <f t="shared" si="16"/>
        <v>55.499210727646513</v>
      </c>
      <c r="G87" s="11">
        <f t="shared" si="16"/>
        <v>31.385388706167902</v>
      </c>
      <c r="H87" s="11">
        <f t="shared" si="16"/>
        <v>54.988668079251369</v>
      </c>
    </row>
    <row r="88" spans="1:8" ht="17">
      <c r="A88" s="12" t="s">
        <v>38</v>
      </c>
      <c r="B88" s="11">
        <f>B68+3*B86</f>
        <v>317.94048955724736</v>
      </c>
      <c r="C88" s="11">
        <f t="shared" ref="C88:H88" si="17">C68+3*C86</f>
        <v>215.42208222318851</v>
      </c>
      <c r="D88" s="11">
        <f t="shared" si="17"/>
        <v>231.29874340066092</v>
      </c>
      <c r="E88" s="11">
        <f t="shared" si="17"/>
        <v>256.24126115740125</v>
      </c>
      <c r="F88" s="11">
        <f t="shared" si="17"/>
        <v>232.61617388773811</v>
      </c>
      <c r="G88" s="11">
        <f t="shared" si="17"/>
        <v>248.49922667844746</v>
      </c>
      <c r="H88" s="11">
        <f t="shared" si="17"/>
        <v>313.47287038228706</v>
      </c>
    </row>
    <row r="91" spans="1:8" ht="17">
      <c r="A91" s="14" t="s">
        <v>39</v>
      </c>
    </row>
    <row r="92" spans="1:8" ht="17">
      <c r="B92" s="12" t="s">
        <v>13</v>
      </c>
      <c r="C92" s="12" t="s">
        <v>14</v>
      </c>
      <c r="D92" s="12" t="s">
        <v>15</v>
      </c>
      <c r="E92" s="12" t="s">
        <v>16</v>
      </c>
      <c r="F92" s="12" t="s">
        <v>17</v>
      </c>
      <c r="G92" s="12" t="s">
        <v>18</v>
      </c>
      <c r="H92" s="12" t="s">
        <v>19</v>
      </c>
    </row>
    <row r="93" spans="1:8">
      <c r="B93" s="11" cm="1">
        <f t="array" ref="B93:B144">_xlfn._xlws.FILTER(B12:B64,(B12:B64&gt;B87)*(B12:B64&lt;B88))</f>
        <v>206</v>
      </c>
      <c r="C93" s="11" cm="1">
        <f t="array" ref="C93:C144">_xlfn._xlws.FILTER(C12:C64,(C12:C64&gt;C87)*(C12:C64&lt;C88))</f>
        <v>90</v>
      </c>
      <c r="D93" s="11" cm="1">
        <f t="array" ref="D93:D145">_xlfn._xlws.FILTER(D12:D64,(D12:D64&gt;D87)*(D12:D64&lt;D88))</f>
        <v>101</v>
      </c>
      <c r="E93" s="11" cm="1">
        <f t="array" ref="E93:E144">_xlfn._xlws.FILTER(E12:E64,(E12:E64&gt;E87)*(E12:E64&lt;E88))</f>
        <v>119</v>
      </c>
      <c r="F93" s="11" cm="1">
        <f t="array" ref="F93:F144">_xlfn._xlws.FILTER(F12:F64,(F12:F64&gt;F87)*(F12:F64&lt;F88))</f>
        <v>98</v>
      </c>
      <c r="G93" s="11" cm="1">
        <f t="array" ref="G93:G143">_xlfn._xlws.FILTER(G12:G64,(G12:G64&gt;G87)*(G12:G64&lt;G88))</f>
        <v>106</v>
      </c>
      <c r="H93" s="11" cm="1">
        <f t="array" ref="H93:H143">_xlfn._xlws.FILTER(H12:H64,(H12:H64&gt;H87)*(H12:H64&lt;H88))</f>
        <v>174</v>
      </c>
    </row>
    <row r="94" spans="1:8">
      <c r="B94" s="11">
        <v>176</v>
      </c>
      <c r="C94" s="11">
        <v>87</v>
      </c>
      <c r="D94" s="11">
        <v>110</v>
      </c>
      <c r="E94" s="11">
        <v>117</v>
      </c>
      <c r="F94" s="11">
        <v>104</v>
      </c>
      <c r="G94" s="11">
        <v>117</v>
      </c>
      <c r="H94" s="11">
        <v>161</v>
      </c>
    </row>
    <row r="95" spans="1:8">
      <c r="B95" s="11">
        <v>187</v>
      </c>
      <c r="C95" s="11">
        <v>90</v>
      </c>
      <c r="D95" s="11">
        <v>100</v>
      </c>
      <c r="E95" s="11">
        <v>130</v>
      </c>
      <c r="F95" s="11">
        <v>117</v>
      </c>
      <c r="G95" s="11">
        <v>102</v>
      </c>
      <c r="H95" s="11">
        <v>160</v>
      </c>
    </row>
    <row r="96" spans="1:8">
      <c r="B96" s="11">
        <v>170</v>
      </c>
      <c r="C96" s="11">
        <v>80</v>
      </c>
      <c r="D96" s="11">
        <v>98</v>
      </c>
      <c r="E96" s="11">
        <v>139</v>
      </c>
      <c r="F96" s="11">
        <v>112</v>
      </c>
      <c r="G96" s="11">
        <v>111</v>
      </c>
      <c r="H96" s="11">
        <v>152</v>
      </c>
    </row>
    <row r="97" spans="2:8">
      <c r="B97" s="11">
        <v>176</v>
      </c>
      <c r="C97" s="11">
        <v>114</v>
      </c>
      <c r="D97" s="11">
        <v>115</v>
      </c>
      <c r="E97" s="11">
        <v>120</v>
      </c>
      <c r="F97" s="11">
        <v>94</v>
      </c>
      <c r="G97" s="11">
        <v>97</v>
      </c>
      <c r="H97" s="11">
        <v>149</v>
      </c>
    </row>
    <row r="98" spans="2:8">
      <c r="B98" s="11">
        <v>162</v>
      </c>
      <c r="C98" s="11">
        <v>81</v>
      </c>
      <c r="D98" s="11">
        <v>122</v>
      </c>
      <c r="E98" s="11">
        <v>119</v>
      </c>
      <c r="F98" s="11">
        <v>123</v>
      </c>
      <c r="G98" s="11">
        <v>110</v>
      </c>
      <c r="H98" s="11">
        <v>125</v>
      </c>
    </row>
    <row r="99" spans="2:8">
      <c r="B99" s="11">
        <v>186</v>
      </c>
      <c r="C99" s="11">
        <v>90</v>
      </c>
      <c r="D99" s="11">
        <v>101</v>
      </c>
      <c r="E99" s="11">
        <v>124</v>
      </c>
      <c r="F99" s="11">
        <v>97</v>
      </c>
      <c r="G99" s="11">
        <v>98</v>
      </c>
      <c r="H99" s="11">
        <v>166</v>
      </c>
    </row>
    <row r="100" spans="2:8">
      <c r="B100" s="11">
        <v>182</v>
      </c>
      <c r="C100" s="11">
        <v>109</v>
      </c>
      <c r="D100" s="11">
        <v>127</v>
      </c>
      <c r="E100" s="11">
        <v>165</v>
      </c>
      <c r="F100" s="11">
        <v>115</v>
      </c>
      <c r="G100" s="11">
        <v>125</v>
      </c>
      <c r="H100" s="11">
        <v>173</v>
      </c>
    </row>
    <row r="101" spans="2:8">
      <c r="B101" s="11">
        <v>158</v>
      </c>
      <c r="C101" s="11">
        <v>58</v>
      </c>
      <c r="D101" s="11">
        <v>116</v>
      </c>
      <c r="E101" s="11">
        <v>143</v>
      </c>
      <c r="F101" s="11">
        <v>86</v>
      </c>
      <c r="G101" s="11">
        <v>110</v>
      </c>
      <c r="H101" s="11">
        <v>166</v>
      </c>
    </row>
    <row r="102" spans="2:8">
      <c r="B102" s="11">
        <v>207</v>
      </c>
      <c r="C102" s="11">
        <v>79</v>
      </c>
      <c r="D102" s="11">
        <v>134</v>
      </c>
      <c r="E102" s="11">
        <v>150</v>
      </c>
      <c r="F102" s="11">
        <v>86</v>
      </c>
      <c r="G102" s="11">
        <v>126</v>
      </c>
      <c r="H102" s="11">
        <v>154</v>
      </c>
    </row>
    <row r="103" spans="2:8">
      <c r="B103" s="11">
        <v>222</v>
      </c>
      <c r="C103" s="11">
        <v>100</v>
      </c>
      <c r="D103" s="11">
        <v>132</v>
      </c>
      <c r="E103" s="11">
        <v>140</v>
      </c>
      <c r="F103" s="11">
        <v>109</v>
      </c>
      <c r="G103" s="11">
        <v>120</v>
      </c>
      <c r="H103" s="11">
        <v>164</v>
      </c>
    </row>
    <row r="104" spans="2:8">
      <c r="B104" s="11">
        <v>218</v>
      </c>
      <c r="C104" s="11">
        <v>91</v>
      </c>
      <c r="D104" s="11">
        <v>134</v>
      </c>
      <c r="E104" s="11">
        <v>158</v>
      </c>
      <c r="F104" s="11">
        <v>140</v>
      </c>
      <c r="G104" s="11">
        <v>136</v>
      </c>
      <c r="H104" s="11">
        <v>156</v>
      </c>
    </row>
    <row r="105" spans="2:8">
      <c r="B105" s="11">
        <v>220</v>
      </c>
      <c r="C105" s="11">
        <v>89</v>
      </c>
      <c r="D105" s="11">
        <v>126</v>
      </c>
      <c r="E105" s="11">
        <v>162</v>
      </c>
      <c r="F105" s="11">
        <v>137</v>
      </c>
      <c r="G105" s="11">
        <v>105</v>
      </c>
      <c r="H105" s="11">
        <v>171</v>
      </c>
    </row>
    <row r="106" spans="2:8">
      <c r="B106" s="11">
        <v>245</v>
      </c>
      <c r="C106" s="11">
        <v>96</v>
      </c>
      <c r="D106" s="11">
        <v>126</v>
      </c>
      <c r="E106" s="11">
        <v>149</v>
      </c>
      <c r="F106" s="11">
        <v>127</v>
      </c>
      <c r="G106" s="11">
        <v>130</v>
      </c>
      <c r="H106" s="11">
        <v>173</v>
      </c>
    </row>
    <row r="107" spans="2:8">
      <c r="B107" s="11">
        <v>202</v>
      </c>
      <c r="C107" s="11">
        <v>114</v>
      </c>
      <c r="D107" s="11">
        <v>117</v>
      </c>
      <c r="E107" s="11">
        <v>100</v>
      </c>
      <c r="F107" s="11">
        <v>121</v>
      </c>
      <c r="G107" s="11">
        <v>119</v>
      </c>
      <c r="H107" s="11">
        <v>193</v>
      </c>
    </row>
    <row r="108" spans="2:8">
      <c r="B108" s="11">
        <v>235</v>
      </c>
      <c r="C108" s="11">
        <v>131</v>
      </c>
      <c r="D108" s="11">
        <v>146</v>
      </c>
      <c r="E108" s="11">
        <v>165</v>
      </c>
      <c r="F108" s="11">
        <v>141</v>
      </c>
      <c r="G108" s="11">
        <v>161</v>
      </c>
      <c r="H108" s="11">
        <v>202</v>
      </c>
    </row>
    <row r="109" spans="2:8">
      <c r="B109" s="11">
        <v>224</v>
      </c>
      <c r="C109" s="11">
        <v>126</v>
      </c>
      <c r="D109" s="11">
        <v>162</v>
      </c>
      <c r="E109" s="11">
        <v>177</v>
      </c>
      <c r="F109" s="11">
        <v>155</v>
      </c>
      <c r="G109" s="11">
        <v>131</v>
      </c>
      <c r="H109" s="11">
        <v>157</v>
      </c>
    </row>
    <row r="110" spans="2:8">
      <c r="B110" s="11">
        <v>218</v>
      </c>
      <c r="C110" s="11">
        <v>124</v>
      </c>
      <c r="D110" s="11">
        <v>123</v>
      </c>
      <c r="E110" s="11">
        <v>147</v>
      </c>
      <c r="F110" s="11">
        <v>157</v>
      </c>
      <c r="G110" s="11">
        <v>148</v>
      </c>
      <c r="H110" s="11">
        <v>216</v>
      </c>
    </row>
    <row r="111" spans="2:8">
      <c r="B111" s="11">
        <v>236</v>
      </c>
      <c r="C111" s="11">
        <v>127</v>
      </c>
      <c r="D111" s="11">
        <v>135</v>
      </c>
      <c r="E111" s="11">
        <v>178</v>
      </c>
      <c r="F111" s="11">
        <v>163</v>
      </c>
      <c r="G111" s="11">
        <v>155</v>
      </c>
      <c r="H111" s="11">
        <v>217</v>
      </c>
    </row>
    <row r="112" spans="2:8">
      <c r="B112" s="11">
        <v>240</v>
      </c>
      <c r="C112" s="11">
        <v>134</v>
      </c>
      <c r="D112" s="11">
        <v>139</v>
      </c>
      <c r="E112" s="11">
        <v>181</v>
      </c>
      <c r="F112" s="11">
        <v>159</v>
      </c>
      <c r="G112" s="11">
        <v>162</v>
      </c>
      <c r="H112" s="11">
        <v>194</v>
      </c>
    </row>
    <row r="113" spans="2:8">
      <c r="B113" s="11">
        <v>248</v>
      </c>
      <c r="C113" s="11">
        <v>149</v>
      </c>
      <c r="D113" s="11">
        <v>69</v>
      </c>
      <c r="E113" s="11">
        <v>183</v>
      </c>
      <c r="F113" s="11">
        <v>151</v>
      </c>
      <c r="G113" s="11">
        <v>172</v>
      </c>
      <c r="H113" s="11">
        <v>231</v>
      </c>
    </row>
    <row r="114" spans="2:8">
      <c r="B114" s="11">
        <v>227</v>
      </c>
      <c r="C114" s="11">
        <v>140</v>
      </c>
      <c r="D114" s="11">
        <v>168</v>
      </c>
      <c r="E114" s="11">
        <v>174</v>
      </c>
      <c r="F114" s="11">
        <v>164</v>
      </c>
      <c r="G114" s="11">
        <v>175</v>
      </c>
      <c r="H114" s="11">
        <v>207</v>
      </c>
    </row>
    <row r="115" spans="2:8">
      <c r="B115" s="11">
        <v>212</v>
      </c>
      <c r="C115" s="11">
        <v>31</v>
      </c>
      <c r="D115" s="11">
        <v>168</v>
      </c>
      <c r="E115" s="11">
        <v>178</v>
      </c>
      <c r="F115" s="11">
        <v>167</v>
      </c>
      <c r="G115" s="11">
        <v>137</v>
      </c>
      <c r="H115" s="11">
        <v>215</v>
      </c>
    </row>
    <row r="116" spans="2:8">
      <c r="B116" s="11">
        <v>234</v>
      </c>
      <c r="C116" s="11">
        <v>155</v>
      </c>
      <c r="D116" s="11">
        <v>155</v>
      </c>
      <c r="E116" s="11">
        <v>160</v>
      </c>
      <c r="F116" s="11">
        <v>151</v>
      </c>
      <c r="G116" s="11">
        <v>176</v>
      </c>
      <c r="H116" s="11">
        <v>144</v>
      </c>
    </row>
    <row r="117" spans="2:8">
      <c r="B117" s="11">
        <v>245</v>
      </c>
      <c r="C117" s="11">
        <v>102</v>
      </c>
      <c r="D117" s="11">
        <v>181</v>
      </c>
      <c r="E117" s="11">
        <v>190</v>
      </c>
      <c r="F117" s="11">
        <v>183</v>
      </c>
      <c r="G117" s="11">
        <v>184</v>
      </c>
      <c r="H117" s="11">
        <v>219</v>
      </c>
    </row>
    <row r="118" spans="2:8">
      <c r="B118" s="11">
        <v>240</v>
      </c>
      <c r="C118" s="11">
        <v>135</v>
      </c>
      <c r="D118" s="11">
        <v>157</v>
      </c>
      <c r="E118" s="11">
        <v>191</v>
      </c>
      <c r="F118" s="11">
        <v>169</v>
      </c>
      <c r="G118" s="11">
        <v>183</v>
      </c>
      <c r="H118" s="11">
        <v>203</v>
      </c>
    </row>
    <row r="119" spans="2:8">
      <c r="B119" s="11">
        <v>214</v>
      </c>
      <c r="C119" s="11">
        <v>146</v>
      </c>
      <c r="D119" s="11">
        <v>185</v>
      </c>
      <c r="E119" s="11">
        <v>204</v>
      </c>
      <c r="F119" s="11">
        <v>167</v>
      </c>
      <c r="G119" s="11">
        <v>160</v>
      </c>
      <c r="H119" s="11">
        <v>194</v>
      </c>
    </row>
    <row r="120" spans="2:8">
      <c r="B120" s="11">
        <v>225</v>
      </c>
      <c r="C120" s="11">
        <v>133</v>
      </c>
      <c r="D120" s="11">
        <v>165</v>
      </c>
      <c r="E120" s="11">
        <v>197</v>
      </c>
      <c r="F120" s="11">
        <v>163</v>
      </c>
      <c r="G120" s="11">
        <v>151</v>
      </c>
      <c r="H120" s="11">
        <v>202</v>
      </c>
    </row>
    <row r="121" spans="2:8">
      <c r="B121" s="11">
        <v>250</v>
      </c>
      <c r="C121" s="11">
        <v>148</v>
      </c>
      <c r="D121" s="11">
        <v>138</v>
      </c>
      <c r="E121" s="11">
        <v>182</v>
      </c>
      <c r="F121" s="11">
        <v>165</v>
      </c>
      <c r="G121" s="11">
        <v>167</v>
      </c>
      <c r="H121" s="11">
        <v>230</v>
      </c>
    </row>
    <row r="122" spans="2:8">
      <c r="B122" s="11">
        <v>267</v>
      </c>
      <c r="C122" s="11">
        <v>173</v>
      </c>
      <c r="D122" s="11">
        <v>169</v>
      </c>
      <c r="E122" s="11">
        <v>198</v>
      </c>
      <c r="F122" s="11">
        <v>192</v>
      </c>
      <c r="G122" s="11">
        <v>184</v>
      </c>
      <c r="H122" s="11">
        <v>230</v>
      </c>
    </row>
    <row r="123" spans="2:8">
      <c r="B123" s="11">
        <v>269</v>
      </c>
      <c r="C123" s="11">
        <v>165</v>
      </c>
      <c r="D123" s="11">
        <v>190</v>
      </c>
      <c r="E123" s="11">
        <v>215</v>
      </c>
      <c r="F123" s="11">
        <v>203</v>
      </c>
      <c r="G123" s="11">
        <v>189</v>
      </c>
      <c r="H123" s="11">
        <v>252</v>
      </c>
    </row>
    <row r="124" spans="2:8">
      <c r="B124" s="11">
        <v>276</v>
      </c>
      <c r="C124" s="11">
        <v>161</v>
      </c>
      <c r="D124" s="11">
        <v>190</v>
      </c>
      <c r="E124" s="11">
        <v>223</v>
      </c>
      <c r="F124" s="11">
        <v>186</v>
      </c>
      <c r="G124" s="11">
        <v>187</v>
      </c>
      <c r="H124" s="11">
        <v>239</v>
      </c>
    </row>
    <row r="125" spans="2:8">
      <c r="B125" s="11">
        <v>291</v>
      </c>
      <c r="C125" s="11">
        <v>168</v>
      </c>
      <c r="D125" s="11">
        <v>184</v>
      </c>
      <c r="E125" s="11">
        <v>215</v>
      </c>
      <c r="F125" s="11">
        <v>166</v>
      </c>
      <c r="G125" s="11">
        <v>198</v>
      </c>
      <c r="H125" s="11">
        <v>242</v>
      </c>
    </row>
    <row r="126" spans="2:8">
      <c r="B126" s="11">
        <v>259</v>
      </c>
      <c r="C126" s="11">
        <v>158</v>
      </c>
      <c r="D126" s="11">
        <v>182</v>
      </c>
      <c r="E126" s="11">
        <v>210</v>
      </c>
      <c r="F126" s="11">
        <v>169</v>
      </c>
      <c r="G126" s="11">
        <v>176</v>
      </c>
      <c r="H126" s="11">
        <v>236</v>
      </c>
    </row>
    <row r="127" spans="2:8">
      <c r="B127" s="11">
        <v>260</v>
      </c>
      <c r="C127" s="11">
        <v>163</v>
      </c>
      <c r="D127" s="11">
        <v>182</v>
      </c>
      <c r="E127" s="11">
        <v>194</v>
      </c>
      <c r="F127" s="11">
        <v>182</v>
      </c>
      <c r="G127" s="11">
        <v>174</v>
      </c>
      <c r="H127" s="11">
        <v>223</v>
      </c>
    </row>
    <row r="128" spans="2:8">
      <c r="B128" s="11">
        <v>242</v>
      </c>
      <c r="C128" s="11">
        <v>42</v>
      </c>
      <c r="D128" s="11">
        <v>174</v>
      </c>
      <c r="E128" s="11">
        <v>198</v>
      </c>
      <c r="F128" s="11">
        <v>183</v>
      </c>
      <c r="G128" s="11">
        <v>196</v>
      </c>
      <c r="H128" s="11">
        <v>239</v>
      </c>
    </row>
    <row r="129" spans="2:8">
      <c r="B129" s="11">
        <v>276</v>
      </c>
      <c r="C129" s="11">
        <v>122</v>
      </c>
      <c r="D129" s="11">
        <v>185</v>
      </c>
      <c r="E129" s="11">
        <v>210</v>
      </c>
      <c r="F129" s="11">
        <v>173</v>
      </c>
      <c r="G129" s="11">
        <v>160</v>
      </c>
      <c r="H129" s="11">
        <v>224</v>
      </c>
    </row>
    <row r="130" spans="2:8">
      <c r="B130" s="11">
        <v>235</v>
      </c>
      <c r="C130" s="11">
        <v>152</v>
      </c>
      <c r="D130" s="11">
        <v>169</v>
      </c>
      <c r="E130" s="11">
        <v>164</v>
      </c>
      <c r="F130" s="11">
        <v>172</v>
      </c>
      <c r="G130" s="11">
        <v>158</v>
      </c>
      <c r="H130" s="11">
        <v>210</v>
      </c>
    </row>
    <row r="131" spans="2:8">
      <c r="B131" s="11">
        <v>256</v>
      </c>
      <c r="C131" s="11">
        <v>162</v>
      </c>
      <c r="D131" s="11">
        <v>180</v>
      </c>
      <c r="E131" s="11">
        <v>208</v>
      </c>
      <c r="F131" s="11">
        <v>181</v>
      </c>
      <c r="G131" s="11">
        <v>176</v>
      </c>
      <c r="H131" s="11">
        <v>213</v>
      </c>
    </row>
    <row r="132" spans="2:8">
      <c r="B132" s="11">
        <v>217</v>
      </c>
      <c r="C132" s="11">
        <v>138</v>
      </c>
      <c r="D132" s="11">
        <v>174</v>
      </c>
      <c r="E132" s="11">
        <v>193</v>
      </c>
      <c r="F132" s="11">
        <v>171</v>
      </c>
      <c r="G132" s="11">
        <v>161</v>
      </c>
      <c r="H132" s="11">
        <v>236</v>
      </c>
    </row>
    <row r="133" spans="2:8">
      <c r="B133" s="11">
        <v>249</v>
      </c>
      <c r="C133" s="11">
        <v>124</v>
      </c>
      <c r="D133" s="11">
        <v>166</v>
      </c>
      <c r="E133" s="11">
        <v>196</v>
      </c>
      <c r="F133" s="11">
        <v>154</v>
      </c>
      <c r="G133" s="11">
        <v>150</v>
      </c>
      <c r="H133" s="11">
        <v>123</v>
      </c>
    </row>
    <row r="134" spans="2:8">
      <c r="B134" s="11">
        <v>252</v>
      </c>
      <c r="C134" s="11">
        <v>115</v>
      </c>
      <c r="D134" s="11">
        <v>146</v>
      </c>
      <c r="E134" s="11">
        <v>170</v>
      </c>
      <c r="F134" s="11">
        <v>147</v>
      </c>
      <c r="G134" s="11">
        <v>135</v>
      </c>
      <c r="H134" s="11">
        <v>206</v>
      </c>
    </row>
    <row r="135" spans="2:8">
      <c r="B135" s="11">
        <v>249</v>
      </c>
      <c r="C135" s="11">
        <v>132</v>
      </c>
      <c r="D135" s="11">
        <v>84</v>
      </c>
      <c r="E135" s="11">
        <v>184</v>
      </c>
      <c r="F135" s="11">
        <v>139</v>
      </c>
      <c r="G135" s="11">
        <v>153</v>
      </c>
      <c r="H135" s="11">
        <v>198</v>
      </c>
    </row>
    <row r="136" spans="2:8">
      <c r="B136" s="11">
        <v>213</v>
      </c>
      <c r="C136" s="11">
        <v>115</v>
      </c>
      <c r="D136" s="11">
        <v>116</v>
      </c>
      <c r="E136" s="11">
        <v>182</v>
      </c>
      <c r="F136" s="11">
        <v>146</v>
      </c>
      <c r="G136" s="11">
        <v>132</v>
      </c>
      <c r="H136" s="11">
        <v>168</v>
      </c>
    </row>
    <row r="137" spans="2:8">
      <c r="B137" s="11">
        <v>238</v>
      </c>
      <c r="C137" s="11">
        <v>113</v>
      </c>
      <c r="D137" s="11">
        <v>128</v>
      </c>
      <c r="E137" s="11">
        <v>160</v>
      </c>
      <c r="F137" s="11">
        <v>136</v>
      </c>
      <c r="G137" s="11">
        <v>136</v>
      </c>
      <c r="H137" s="11">
        <v>168</v>
      </c>
    </row>
    <row r="138" spans="2:8">
      <c r="B138" s="11">
        <v>226</v>
      </c>
      <c r="C138" s="11">
        <v>114</v>
      </c>
      <c r="D138" s="11">
        <v>145</v>
      </c>
      <c r="E138" s="11">
        <v>152</v>
      </c>
      <c r="F138" s="11">
        <v>140</v>
      </c>
      <c r="G138" s="11">
        <v>62</v>
      </c>
      <c r="H138" s="11">
        <v>117</v>
      </c>
    </row>
    <row r="139" spans="2:8">
      <c r="B139" s="11">
        <v>226</v>
      </c>
      <c r="C139" s="11">
        <v>128</v>
      </c>
      <c r="D139" s="11">
        <v>152</v>
      </c>
      <c r="E139" s="11">
        <v>166</v>
      </c>
      <c r="F139" s="11">
        <v>134</v>
      </c>
      <c r="G139" s="11">
        <v>96</v>
      </c>
      <c r="H139" s="11">
        <v>143</v>
      </c>
    </row>
    <row r="140" spans="2:8">
      <c r="B140" s="11">
        <v>211</v>
      </c>
      <c r="C140" s="11">
        <v>60</v>
      </c>
      <c r="D140" s="11">
        <v>113</v>
      </c>
      <c r="E140" s="11">
        <v>128</v>
      </c>
      <c r="F140" s="11">
        <v>109</v>
      </c>
      <c r="G140" s="11">
        <v>112</v>
      </c>
      <c r="H140" s="11">
        <v>143</v>
      </c>
    </row>
    <row r="141" spans="2:8">
      <c r="B141" s="11">
        <v>196</v>
      </c>
      <c r="C141" s="11">
        <v>80</v>
      </c>
      <c r="D141" s="11">
        <v>129</v>
      </c>
      <c r="E141" s="11">
        <v>162</v>
      </c>
      <c r="F141" s="11">
        <v>115</v>
      </c>
      <c r="G141" s="11">
        <v>108</v>
      </c>
      <c r="H141" s="11">
        <v>169</v>
      </c>
    </row>
    <row r="142" spans="2:8">
      <c r="B142" s="11">
        <v>212</v>
      </c>
      <c r="C142" s="11">
        <v>83</v>
      </c>
      <c r="D142" s="11">
        <v>113</v>
      </c>
      <c r="E142" s="11">
        <v>156</v>
      </c>
      <c r="F142" s="11">
        <v>144</v>
      </c>
      <c r="G142" s="11">
        <v>128</v>
      </c>
      <c r="H142" s="11">
        <v>165</v>
      </c>
    </row>
    <row r="143" spans="2:8">
      <c r="B143" s="11">
        <v>157</v>
      </c>
      <c r="C143" s="11">
        <v>77</v>
      </c>
      <c r="D143" s="11">
        <v>126</v>
      </c>
      <c r="E143" s="11">
        <v>151</v>
      </c>
      <c r="F143" s="11">
        <v>121</v>
      </c>
      <c r="G143" s="11">
        <v>125</v>
      </c>
      <c r="H143" s="11">
        <v>168</v>
      </c>
    </row>
    <row r="144" spans="2:8">
      <c r="B144" s="11">
        <v>199</v>
      </c>
      <c r="C144" s="11">
        <v>88</v>
      </c>
      <c r="D144" s="11">
        <v>120</v>
      </c>
      <c r="E144" s="11">
        <v>143</v>
      </c>
      <c r="F144" s="11">
        <v>107</v>
      </c>
      <c r="G144" s="11"/>
      <c r="H144" s="11"/>
    </row>
    <row r="145" spans="1:8">
      <c r="B145" s="11"/>
      <c r="C145" s="11"/>
      <c r="D145" s="11">
        <v>117</v>
      </c>
      <c r="E145" s="11"/>
      <c r="F145" s="11"/>
      <c r="G145" s="11"/>
      <c r="H145" s="11"/>
    </row>
    <row r="147" spans="1:8" ht="17">
      <c r="B147" s="12" t="s">
        <v>13</v>
      </c>
      <c r="C147" s="12" t="s">
        <v>14</v>
      </c>
      <c r="D147" s="12" t="s">
        <v>15</v>
      </c>
      <c r="E147" s="12" t="s">
        <v>16</v>
      </c>
      <c r="F147" s="12" t="s">
        <v>17</v>
      </c>
      <c r="G147" s="12" t="s">
        <v>18</v>
      </c>
      <c r="H147" s="12" t="s">
        <v>19</v>
      </c>
    </row>
    <row r="148" spans="1:8" ht="17">
      <c r="A148" s="12" t="s">
        <v>41</v>
      </c>
      <c r="B148" s="11">
        <f>B85</f>
        <v>983.34726331360946</v>
      </c>
      <c r="C148" s="11">
        <f t="shared" ref="C148:H148" si="18">C85</f>
        <v>1119.6523668639054</v>
      </c>
      <c r="D148" s="11">
        <f t="shared" si="18"/>
        <v>901.82484870060523</v>
      </c>
      <c r="E148" s="11">
        <f t="shared" si="18"/>
        <v>871.21301775147924</v>
      </c>
      <c r="F148" s="11">
        <f t="shared" si="18"/>
        <v>871.40051775147924</v>
      </c>
      <c r="G148" s="11">
        <f t="shared" si="18"/>
        <v>1309.4005177514794</v>
      </c>
      <c r="H148" s="11">
        <f t="shared" si="18"/>
        <v>1855.9467455621302</v>
      </c>
    </row>
    <row r="149" spans="1:8" ht="17">
      <c r="A149" s="12" t="s">
        <v>40</v>
      </c>
      <c r="B149" s="11">
        <f t="shared" ref="B149:H149" si="19">_xlfn.VAR.P(B93:B145)</f>
        <v>983.34726331360946</v>
      </c>
      <c r="C149" s="11">
        <f t="shared" si="19"/>
        <v>1119.6523668639054</v>
      </c>
      <c r="D149" s="11">
        <f t="shared" si="19"/>
        <v>901.82484870060523</v>
      </c>
      <c r="E149" s="11">
        <f t="shared" si="19"/>
        <v>871.21301775147924</v>
      </c>
      <c r="F149" s="11">
        <f t="shared" si="19"/>
        <v>871.40051775147924</v>
      </c>
      <c r="G149" s="11">
        <f t="shared" si="19"/>
        <v>981.73779315647823</v>
      </c>
      <c r="H149" s="11">
        <f t="shared" si="19"/>
        <v>1213.7793156478278</v>
      </c>
    </row>
  </sheetData>
  <phoneticPr fontId="4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3E53-D6A5-A343-8FF5-D7F802317392}">
  <dimension ref="B2:G36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6" sqref="F6"/>
    </sheetView>
  </sheetViews>
  <sheetFormatPr baseColWidth="10" defaultRowHeight="16"/>
  <cols>
    <col min="2" max="2" width="10.7109375" style="15"/>
    <col min="7" max="7" width="12" bestFit="1" customWidth="1"/>
    <col min="8" max="8" width="11.28515625" customWidth="1"/>
    <col min="9" max="9" width="10.7109375" customWidth="1"/>
  </cols>
  <sheetData>
    <row r="2" spans="2:7" ht="17">
      <c r="B2" s="18"/>
      <c r="C2" s="19" t="s">
        <v>2</v>
      </c>
      <c r="D2" s="19" t="s">
        <v>10</v>
      </c>
    </row>
    <row r="3" spans="2:7">
      <c r="B3" s="17">
        <f>アイスクリームの売り上げデータ!A3</f>
        <v>43466</v>
      </c>
      <c r="C3" s="11">
        <f>アイスクリームの売り上げデータ!C3</f>
        <v>5.3</v>
      </c>
      <c r="D3" s="11">
        <f>アイスクリームの売り上げデータ!G3</f>
        <v>101</v>
      </c>
    </row>
    <row r="4" spans="2:7" ht="17">
      <c r="B4" s="17">
        <f>アイスクリームの売り上げデータ!A4</f>
        <v>43467</v>
      </c>
      <c r="C4" s="11">
        <f>アイスクリームの売り上げデータ!C4</f>
        <v>6.2</v>
      </c>
      <c r="D4" s="11">
        <f>アイスクリームの売り上げデータ!G4</f>
        <v>119</v>
      </c>
      <c r="F4" s="12" t="s">
        <v>42</v>
      </c>
      <c r="G4" s="11">
        <f>CORREL(C3:C367,D3:D367)</f>
        <v>0.57082458215972387</v>
      </c>
    </row>
    <row r="5" spans="2:7">
      <c r="B5" s="17">
        <f>アイスクリームの売り上げデータ!A5</f>
        <v>43468</v>
      </c>
      <c r="C5" s="11">
        <f>アイスクリームの売り上げデータ!C5</f>
        <v>4.9000000000000004</v>
      </c>
      <c r="D5" s="11">
        <f>アイスクリームの売り上げデータ!G5</f>
        <v>98</v>
      </c>
    </row>
    <row r="6" spans="2:7">
      <c r="B6" s="17">
        <f>アイスクリームの売り上げデータ!A6</f>
        <v>43469</v>
      </c>
      <c r="C6" s="11">
        <f>アイスクリームの売り上げデータ!C6</f>
        <v>5.0999999999999996</v>
      </c>
      <c r="D6" s="11">
        <f>アイスクリームの売り上げデータ!G6</f>
        <v>106</v>
      </c>
    </row>
    <row r="7" spans="2:7">
      <c r="B7" s="17">
        <f>アイスクリームの売り上げデータ!A7</f>
        <v>43470</v>
      </c>
      <c r="C7" s="11">
        <f>アイスクリームの売り上げデータ!C7</f>
        <v>7.4</v>
      </c>
      <c r="D7" s="11">
        <f>アイスクリームの売り上げデータ!G7</f>
        <v>174</v>
      </c>
    </row>
    <row r="8" spans="2:7">
      <c r="B8" s="17">
        <f>アイスクリームの売り上げデータ!A8</f>
        <v>43471</v>
      </c>
      <c r="C8" s="11">
        <f>アイスクリームの売り上げデータ!C8</f>
        <v>5.3</v>
      </c>
      <c r="D8" s="11">
        <f>アイスクリームの売り上げデータ!G8</f>
        <v>206</v>
      </c>
    </row>
    <row r="9" spans="2:7">
      <c r="B9" s="17">
        <f>アイスクリームの売り上げデータ!A9</f>
        <v>43472</v>
      </c>
      <c r="C9" s="11">
        <f>アイスクリームの売り上げデータ!C9</f>
        <v>5.4</v>
      </c>
      <c r="D9" s="11">
        <f>アイスクリームの売り上げデータ!G9</f>
        <v>90</v>
      </c>
    </row>
    <row r="10" spans="2:7">
      <c r="B10" s="17">
        <f>アイスクリームの売り上げデータ!A10</f>
        <v>43473</v>
      </c>
      <c r="C10" s="11">
        <f>アイスクリームの売り上げデータ!C10</f>
        <v>4.5999999999999996</v>
      </c>
      <c r="D10" s="11">
        <f>アイスクリームの売り上げデータ!G10</f>
        <v>110</v>
      </c>
    </row>
    <row r="11" spans="2:7">
      <c r="B11" s="17">
        <f>アイスクリームの売り上げデータ!A11</f>
        <v>43474</v>
      </c>
      <c r="C11" s="11">
        <f>アイスクリームの売り上げデータ!C11</f>
        <v>4.5</v>
      </c>
      <c r="D11" s="11">
        <f>アイスクリームの売り上げデータ!G11</f>
        <v>117</v>
      </c>
    </row>
    <row r="12" spans="2:7">
      <c r="B12" s="17">
        <f>アイスクリームの売り上げデータ!A12</f>
        <v>43475</v>
      </c>
      <c r="C12" s="11">
        <f>アイスクリームの売り上げデータ!C12</f>
        <v>2</v>
      </c>
      <c r="D12" s="11">
        <f>アイスクリームの売り上げデータ!G12</f>
        <v>104</v>
      </c>
    </row>
    <row r="13" spans="2:7">
      <c r="B13" s="17">
        <f>アイスクリームの売り上げデータ!A13</f>
        <v>43476</v>
      </c>
      <c r="C13" s="11">
        <f>アイスクリームの売り上げデータ!C13</f>
        <v>6.4</v>
      </c>
      <c r="D13" s="11">
        <f>アイスクリームの売り上げデータ!G13</f>
        <v>117</v>
      </c>
    </row>
    <row r="14" spans="2:7">
      <c r="B14" s="17">
        <f>アイスクリームの売り上げデータ!A14</f>
        <v>43477</v>
      </c>
      <c r="C14" s="11">
        <f>アイスクリームの売り上げデータ!C14</f>
        <v>4.5999999999999996</v>
      </c>
      <c r="D14" s="11">
        <f>アイスクリームの売り上げデータ!G14</f>
        <v>161</v>
      </c>
    </row>
    <row r="15" spans="2:7">
      <c r="B15" s="17">
        <f>アイスクリームの売り上げデータ!A15</f>
        <v>43478</v>
      </c>
      <c r="C15" s="11">
        <f>アイスクリームの売り上げデータ!C15</f>
        <v>6.2</v>
      </c>
      <c r="D15" s="11">
        <f>アイスクリームの売り上げデータ!G15</f>
        <v>176</v>
      </c>
    </row>
    <row r="16" spans="2:7">
      <c r="B16" s="17">
        <f>アイスクリームの売り上げデータ!A16</f>
        <v>43479</v>
      </c>
      <c r="C16" s="11">
        <f>アイスクリームの売り上げデータ!C16</f>
        <v>5.6</v>
      </c>
      <c r="D16" s="11">
        <f>アイスクリームの売り上げデータ!G16</f>
        <v>87</v>
      </c>
    </row>
    <row r="17" spans="2:4">
      <c r="B17" s="17">
        <f>アイスクリームの売り上げデータ!A17</f>
        <v>43480</v>
      </c>
      <c r="C17" s="11">
        <f>アイスクリームの売り上げデータ!C17</f>
        <v>5.6</v>
      </c>
      <c r="D17" s="11">
        <f>アイスクリームの売り上げデータ!G17</f>
        <v>100</v>
      </c>
    </row>
    <row r="18" spans="2:4">
      <c r="B18" s="17">
        <f>アイスクリームの売り上げデータ!A18</f>
        <v>43481</v>
      </c>
      <c r="C18" s="11">
        <f>アイスクリームの売り上げデータ!C18</f>
        <v>6.6</v>
      </c>
      <c r="D18" s="11">
        <f>アイスクリームの売り上げデータ!G18</f>
        <v>130</v>
      </c>
    </row>
    <row r="19" spans="2:4">
      <c r="B19" s="17">
        <f>アイスクリームの売り上げデータ!A19</f>
        <v>43482</v>
      </c>
      <c r="C19" s="11">
        <f>アイスクリームの売り上げデータ!C19</f>
        <v>6.6</v>
      </c>
      <c r="D19" s="11">
        <f>アイスクリームの売り上げデータ!G19</f>
        <v>117</v>
      </c>
    </row>
    <row r="20" spans="2:4">
      <c r="B20" s="17">
        <f>アイスクリームの売り上げデータ!A20</f>
        <v>43483</v>
      </c>
      <c r="C20" s="11">
        <f>アイスクリームの売り上げデータ!C20</f>
        <v>5.9</v>
      </c>
      <c r="D20" s="11">
        <f>アイスクリームの売り上げデータ!G20</f>
        <v>102</v>
      </c>
    </row>
    <row r="21" spans="2:4">
      <c r="B21" s="17">
        <f>アイスクリームの売り上げデータ!A21</f>
        <v>43484</v>
      </c>
      <c r="C21" s="11">
        <f>アイスクリームの売り上げデータ!C21</f>
        <v>6.6</v>
      </c>
      <c r="D21" s="11">
        <f>アイスクリームの売り上げデータ!G21</f>
        <v>160</v>
      </c>
    </row>
    <row r="22" spans="2:4">
      <c r="B22" s="17">
        <f>アイスクリームの売り上げデータ!A22</f>
        <v>43485</v>
      </c>
      <c r="C22" s="11">
        <f>アイスクリームの売り上げデータ!C22</f>
        <v>7.1</v>
      </c>
      <c r="D22" s="11">
        <f>アイスクリームの売り上げデータ!G22</f>
        <v>187</v>
      </c>
    </row>
    <row r="23" spans="2:4">
      <c r="B23" s="17">
        <f>アイスクリームの売り上げデータ!A23</f>
        <v>43486</v>
      </c>
      <c r="C23" s="11">
        <f>アイスクリームの売り上げデータ!C23</f>
        <v>5.8</v>
      </c>
      <c r="D23" s="11">
        <f>アイスクリームの売り上げデータ!G23</f>
        <v>90</v>
      </c>
    </row>
    <row r="24" spans="2:4">
      <c r="B24" s="17">
        <f>アイスクリームの売り上げデータ!A24</f>
        <v>43487</v>
      </c>
      <c r="C24" s="11">
        <f>アイスクリームの売り上げデータ!C24</f>
        <v>5</v>
      </c>
      <c r="D24" s="11">
        <f>アイスクリームの売り上げデータ!G24</f>
        <v>98</v>
      </c>
    </row>
    <row r="25" spans="2:4">
      <c r="B25" s="17">
        <f>アイスクリームの売り上げデータ!A25</f>
        <v>43488</v>
      </c>
      <c r="C25" s="11">
        <f>アイスクリームの売り上げデータ!C25</f>
        <v>6.7</v>
      </c>
      <c r="D25" s="11">
        <f>アイスクリームの売り上げデータ!G25</f>
        <v>139</v>
      </c>
    </row>
    <row r="26" spans="2:4">
      <c r="B26" s="17">
        <f>アイスクリームの売り上げデータ!A26</f>
        <v>43489</v>
      </c>
      <c r="C26" s="11">
        <f>アイスクリームの売り上げデータ!C26</f>
        <v>6.2</v>
      </c>
      <c r="D26" s="11">
        <f>アイスクリームの売り上げデータ!G26</f>
        <v>112</v>
      </c>
    </row>
    <row r="27" spans="2:4">
      <c r="B27" s="17">
        <f>アイスクリームの売り上げデータ!A27</f>
        <v>43490</v>
      </c>
      <c r="C27" s="11">
        <f>アイスクリームの売り上げデータ!C27</f>
        <v>6</v>
      </c>
      <c r="D27" s="11">
        <f>アイスクリームの売り上げデータ!G27</f>
        <v>111</v>
      </c>
    </row>
    <row r="28" spans="2:4">
      <c r="B28" s="17">
        <f>アイスクリームの売り上げデータ!A28</f>
        <v>43491</v>
      </c>
      <c r="C28" s="11">
        <f>アイスクリームの売り上げデータ!C28</f>
        <v>4.5</v>
      </c>
      <c r="D28" s="11">
        <f>アイスクリームの売り上げデータ!G28</f>
        <v>152</v>
      </c>
    </row>
    <row r="29" spans="2:4">
      <c r="B29" s="17">
        <f>アイスクリームの売り上げデータ!A29</f>
        <v>43492</v>
      </c>
      <c r="C29" s="11">
        <f>アイスクリームの売り上げデータ!C29</f>
        <v>4.5999999999999996</v>
      </c>
      <c r="D29" s="11">
        <f>アイスクリームの売り上げデータ!G29</f>
        <v>170</v>
      </c>
    </row>
    <row r="30" spans="2:4">
      <c r="B30" s="17">
        <f>アイスクリームの売り上げデータ!A30</f>
        <v>43493</v>
      </c>
      <c r="C30" s="11">
        <f>アイスクリームの売り上げデータ!C30</f>
        <v>6.5</v>
      </c>
      <c r="D30" s="11">
        <f>アイスクリームの売り上げデータ!G30</f>
        <v>80</v>
      </c>
    </row>
    <row r="31" spans="2:4">
      <c r="B31" s="17">
        <f>アイスクリームの売り上げデータ!A31</f>
        <v>43494</v>
      </c>
      <c r="C31" s="11">
        <f>アイスクリームの売り上げデータ!C31</f>
        <v>6</v>
      </c>
      <c r="D31" s="11">
        <f>アイスクリームの売り上げデータ!G31</f>
        <v>115</v>
      </c>
    </row>
    <row r="32" spans="2:4">
      <c r="B32" s="17">
        <f>アイスクリームの売り上げデータ!A32</f>
        <v>43495</v>
      </c>
      <c r="C32" s="11">
        <f>アイスクリームの売り上げデータ!C32</f>
        <v>5.2</v>
      </c>
      <c r="D32" s="11">
        <f>アイスクリームの売り上げデータ!G32</f>
        <v>120</v>
      </c>
    </row>
    <row r="33" spans="2:4">
      <c r="B33" s="17">
        <f>アイスクリームの売り上げデータ!A33</f>
        <v>43496</v>
      </c>
      <c r="C33" s="11">
        <f>アイスクリームの売り上げデータ!C33</f>
        <v>5.0999999999999996</v>
      </c>
      <c r="D33" s="11">
        <f>アイスクリームの売り上げデータ!G33</f>
        <v>94</v>
      </c>
    </row>
    <row r="34" spans="2:4">
      <c r="B34" s="17">
        <f>アイスクリームの売り上げデータ!A34</f>
        <v>43497</v>
      </c>
      <c r="C34" s="11">
        <f>アイスクリームの売り上げデータ!C34</f>
        <v>4.0999999999999996</v>
      </c>
      <c r="D34" s="11">
        <f>アイスクリームの売り上げデータ!G34</f>
        <v>97</v>
      </c>
    </row>
    <row r="35" spans="2:4">
      <c r="B35" s="17">
        <f>アイスクリームの売り上げデータ!A35</f>
        <v>43498</v>
      </c>
      <c r="C35" s="11">
        <f>アイスクリームの売り上げデータ!C35</f>
        <v>6</v>
      </c>
      <c r="D35" s="11">
        <f>アイスクリームの売り上げデータ!G35</f>
        <v>149</v>
      </c>
    </row>
    <row r="36" spans="2:4">
      <c r="B36" s="17">
        <f>アイスクリームの売り上げデータ!A36</f>
        <v>43499</v>
      </c>
      <c r="C36" s="11">
        <f>アイスクリームの売り上げデータ!C36</f>
        <v>8.5</v>
      </c>
      <c r="D36" s="11">
        <f>アイスクリームの売り上げデータ!G36</f>
        <v>176</v>
      </c>
    </row>
    <row r="37" spans="2:4">
      <c r="B37" s="17">
        <f>アイスクリームの売り上げデータ!A37</f>
        <v>43500</v>
      </c>
      <c r="C37" s="11">
        <f>アイスクリームの売り上げデータ!C37</f>
        <v>13.2</v>
      </c>
      <c r="D37" s="11">
        <f>アイスクリームの売り上げデータ!G37</f>
        <v>114</v>
      </c>
    </row>
    <row r="38" spans="2:4">
      <c r="B38" s="17">
        <f>アイスクリームの売り上げデータ!A38</f>
        <v>43501</v>
      </c>
      <c r="C38" s="11">
        <f>アイスクリームの売り上げデータ!C38</f>
        <v>6.7</v>
      </c>
      <c r="D38" s="11">
        <f>アイスクリームの売り上げデータ!G38</f>
        <v>122</v>
      </c>
    </row>
    <row r="39" spans="2:4">
      <c r="B39" s="17">
        <f>アイスクリームの売り上げデータ!A39</f>
        <v>43502</v>
      </c>
      <c r="C39" s="11">
        <f>アイスクリームの売り上げデータ!C39</f>
        <v>5.7</v>
      </c>
      <c r="D39" s="11">
        <f>アイスクリームの売り上げデータ!G39</f>
        <v>119</v>
      </c>
    </row>
    <row r="40" spans="2:4">
      <c r="B40" s="17">
        <f>アイスクリームの売り上げデータ!A40</f>
        <v>43503</v>
      </c>
      <c r="C40" s="11">
        <f>アイスクリームの売り上げデータ!C40</f>
        <v>9.6</v>
      </c>
      <c r="D40" s="11">
        <f>アイスクリームの売り上げデータ!G40</f>
        <v>123</v>
      </c>
    </row>
    <row r="41" spans="2:4">
      <c r="B41" s="17">
        <f>アイスクリームの売り上げデータ!A41</f>
        <v>43504</v>
      </c>
      <c r="C41" s="11">
        <f>アイスクリームの売り上げデータ!C41</f>
        <v>6.1</v>
      </c>
      <c r="D41" s="11">
        <f>アイスクリームの売り上げデータ!G41</f>
        <v>110</v>
      </c>
    </row>
    <row r="42" spans="2:4">
      <c r="B42" s="17">
        <f>アイスクリームの売り上げデータ!A42</f>
        <v>43505</v>
      </c>
      <c r="C42" s="11">
        <f>アイスクリームの売り上げデータ!C42</f>
        <v>0.8</v>
      </c>
      <c r="D42" s="11">
        <f>アイスクリームの売り上げデータ!G42</f>
        <v>125</v>
      </c>
    </row>
    <row r="43" spans="2:4">
      <c r="B43" s="17">
        <f>アイスクリームの売り上げデータ!A43</f>
        <v>43506</v>
      </c>
      <c r="C43" s="11">
        <f>アイスクリームの売り上げデータ!C43</f>
        <v>3.5</v>
      </c>
      <c r="D43" s="11">
        <f>アイスクリームの売り上げデータ!G43</f>
        <v>162</v>
      </c>
    </row>
    <row r="44" spans="2:4">
      <c r="B44" s="17">
        <f>アイスクリームの売り上げデータ!A44</f>
        <v>43507</v>
      </c>
      <c r="C44" s="11">
        <f>アイスクリームの売り上げデータ!C44</f>
        <v>3</v>
      </c>
      <c r="D44" s="11">
        <f>アイスクリームの売り上げデータ!G44</f>
        <v>81</v>
      </c>
    </row>
    <row r="45" spans="2:4">
      <c r="B45" s="17">
        <f>アイスクリームの売り上げデータ!A45</f>
        <v>43508</v>
      </c>
      <c r="C45" s="11">
        <f>アイスクリームの売り上げデータ!C45</f>
        <v>6.2</v>
      </c>
      <c r="D45" s="11">
        <f>アイスクリームの売り上げデータ!G45</f>
        <v>101</v>
      </c>
    </row>
    <row r="46" spans="2:4">
      <c r="B46" s="17">
        <f>アイスクリームの売り上げデータ!A46</f>
        <v>43509</v>
      </c>
      <c r="C46" s="11">
        <f>アイスクリームの売り上げデータ!C46</f>
        <v>5.2</v>
      </c>
      <c r="D46" s="11">
        <f>アイスクリームの売り上げデータ!G46</f>
        <v>124</v>
      </c>
    </row>
    <row r="47" spans="2:4">
      <c r="B47" s="17">
        <f>アイスクリームの売り上げデータ!A47</f>
        <v>43510</v>
      </c>
      <c r="C47" s="11">
        <f>アイスクリームの売り上げデータ!C47</f>
        <v>4.5</v>
      </c>
      <c r="D47" s="11">
        <f>アイスクリームの売り上げデータ!G47</f>
        <v>97</v>
      </c>
    </row>
    <row r="48" spans="2:4">
      <c r="B48" s="17">
        <f>アイスクリームの売り上げデータ!A48</f>
        <v>43511</v>
      </c>
      <c r="C48" s="11">
        <f>アイスクリームの売り上げデータ!C48</f>
        <v>3</v>
      </c>
      <c r="D48" s="11">
        <f>アイスクリームの売り上げデータ!G48</f>
        <v>98</v>
      </c>
    </row>
    <row r="49" spans="2:4">
      <c r="B49" s="17">
        <f>アイスクリームの売り上げデータ!A49</f>
        <v>43512</v>
      </c>
      <c r="C49" s="11">
        <f>アイスクリームの売り上げデータ!C49</f>
        <v>6.8</v>
      </c>
      <c r="D49" s="11">
        <f>アイスクリームの売り上げデータ!G49</f>
        <v>166</v>
      </c>
    </row>
    <row r="50" spans="2:4">
      <c r="B50" s="17">
        <f>アイスクリームの売り上げデータ!A50</f>
        <v>43513</v>
      </c>
      <c r="C50" s="11">
        <f>アイスクリームの売り上げデータ!C50</f>
        <v>6.4</v>
      </c>
      <c r="D50" s="11">
        <f>アイスクリームの売り上げデータ!G50</f>
        <v>186</v>
      </c>
    </row>
    <row r="51" spans="2:4">
      <c r="B51" s="17">
        <f>アイスクリームの売り上げデータ!A51</f>
        <v>43514</v>
      </c>
      <c r="C51" s="11">
        <f>アイスクリームの売り上げデータ!C51</f>
        <v>8.1999999999999993</v>
      </c>
      <c r="D51" s="11">
        <f>アイスクリームの売り上げデータ!G51</f>
        <v>90</v>
      </c>
    </row>
    <row r="52" spans="2:4">
      <c r="B52" s="17">
        <f>アイスクリームの売り上げデータ!A52</f>
        <v>43515</v>
      </c>
      <c r="C52" s="11">
        <f>アイスクリームの売り上げデータ!C52</f>
        <v>9.1</v>
      </c>
      <c r="D52" s="11">
        <f>アイスクリームの売り上げデータ!G52</f>
        <v>127</v>
      </c>
    </row>
    <row r="53" spans="2:4">
      <c r="B53" s="17">
        <f>アイスクリームの売り上げデータ!A53</f>
        <v>43516</v>
      </c>
      <c r="C53" s="11">
        <f>アイスクリームの売り上げデータ!C53</f>
        <v>11.6</v>
      </c>
      <c r="D53" s="11">
        <f>アイスクリームの売り上げデータ!G53</f>
        <v>165</v>
      </c>
    </row>
    <row r="54" spans="2:4">
      <c r="B54" s="17">
        <f>アイスクリームの売り上げデータ!A54</f>
        <v>43517</v>
      </c>
      <c r="C54" s="11">
        <f>アイスクリームの売り上げデータ!C54</f>
        <v>10.3</v>
      </c>
      <c r="D54" s="11">
        <f>アイスクリームの売り上げデータ!G54</f>
        <v>115</v>
      </c>
    </row>
    <row r="55" spans="2:4">
      <c r="B55" s="17">
        <f>アイスクリームの売り上げデータ!A55</f>
        <v>43518</v>
      </c>
      <c r="C55" s="11">
        <f>アイスクリームの売り上げデータ!C55</f>
        <v>9.3000000000000007</v>
      </c>
      <c r="D55" s="11">
        <f>アイスクリームの売り上げデータ!G55</f>
        <v>125</v>
      </c>
    </row>
    <row r="56" spans="2:4">
      <c r="B56" s="17">
        <f>アイスクリームの売り上げデータ!A56</f>
        <v>43519</v>
      </c>
      <c r="C56" s="11">
        <f>アイスクリームの売り上げデータ!C56</f>
        <v>8.9</v>
      </c>
      <c r="D56" s="11">
        <f>アイスクリームの売り上げデータ!G56</f>
        <v>173</v>
      </c>
    </row>
    <row r="57" spans="2:4">
      <c r="B57" s="17">
        <f>アイスクリームの売り上げデータ!A57</f>
        <v>43520</v>
      </c>
      <c r="C57" s="11">
        <f>アイスクリームの売り上げデータ!C57</f>
        <v>8.8000000000000007</v>
      </c>
      <c r="D57" s="11">
        <f>アイスクリームの売り上げデータ!G57</f>
        <v>182</v>
      </c>
    </row>
    <row r="58" spans="2:4">
      <c r="B58" s="17">
        <f>アイスクリームの売り上げデータ!A58</f>
        <v>43521</v>
      </c>
      <c r="C58" s="11">
        <f>アイスクリームの売り上げデータ!C58</f>
        <v>11.3</v>
      </c>
      <c r="D58" s="11">
        <f>アイスクリームの売り上げデータ!G58</f>
        <v>109</v>
      </c>
    </row>
    <row r="59" spans="2:4">
      <c r="B59" s="17">
        <f>アイスクリームの売り上げデータ!A59</f>
        <v>43522</v>
      </c>
      <c r="C59" s="11">
        <f>アイスクリームの売り上げデータ!C59</f>
        <v>10.199999999999999</v>
      </c>
      <c r="D59" s="11">
        <f>アイスクリームの売り上げデータ!G59</f>
        <v>116</v>
      </c>
    </row>
    <row r="60" spans="2:4">
      <c r="B60" s="17">
        <f>アイスクリームの売り上げデータ!A60</f>
        <v>43523</v>
      </c>
      <c r="C60" s="11">
        <f>アイスクリームの売り上げデータ!C60</f>
        <v>7.7</v>
      </c>
      <c r="D60" s="11">
        <f>アイスクリームの売り上げデータ!G60</f>
        <v>143</v>
      </c>
    </row>
    <row r="61" spans="2:4">
      <c r="B61" s="17">
        <f>アイスクリームの売り上げデータ!A61</f>
        <v>43524</v>
      </c>
      <c r="C61" s="11">
        <f>アイスクリームの売り上げデータ!C61</f>
        <v>6.6</v>
      </c>
      <c r="D61" s="11">
        <f>アイスクリームの売り上げデータ!G61</f>
        <v>86</v>
      </c>
    </row>
    <row r="62" spans="2:4">
      <c r="B62" s="17">
        <f>アイスクリームの売り上げデータ!A62</f>
        <v>43525</v>
      </c>
      <c r="C62" s="11">
        <f>アイスクリームの売り上げデータ!C62</f>
        <v>8.8000000000000007</v>
      </c>
      <c r="D62" s="11">
        <f>アイスクリームの売り上げデータ!G62</f>
        <v>110</v>
      </c>
    </row>
    <row r="63" spans="2:4">
      <c r="B63" s="17">
        <f>アイスクリームの売り上げデータ!A63</f>
        <v>43526</v>
      </c>
      <c r="C63" s="11">
        <f>アイスクリームの売り上げデータ!C63</f>
        <v>10.3</v>
      </c>
      <c r="D63" s="11">
        <f>アイスクリームの売り上げデータ!G63</f>
        <v>166</v>
      </c>
    </row>
    <row r="64" spans="2:4">
      <c r="B64" s="17">
        <f>アイスクリームの売り上げデータ!A64</f>
        <v>43527</v>
      </c>
      <c r="C64" s="11">
        <f>アイスクリームの売り上げデータ!C64</f>
        <v>6.5</v>
      </c>
      <c r="D64" s="11">
        <f>アイスクリームの売り上げデータ!G64</f>
        <v>158</v>
      </c>
    </row>
    <row r="65" spans="2:4">
      <c r="B65" s="17">
        <f>アイスクリームの売り上げデータ!A65</f>
        <v>43528</v>
      </c>
      <c r="C65" s="11">
        <f>アイスクリームの売り上げデータ!C65</f>
        <v>7.3</v>
      </c>
      <c r="D65" s="11">
        <f>アイスクリームの売り上げデータ!G65</f>
        <v>58</v>
      </c>
    </row>
    <row r="66" spans="2:4">
      <c r="B66" s="17">
        <f>アイスクリームの売り上げデータ!A66</f>
        <v>43529</v>
      </c>
      <c r="C66" s="11">
        <f>アイスクリームの売り上げデータ!C66</f>
        <v>9.6</v>
      </c>
      <c r="D66" s="11">
        <f>アイスクリームの売り上げデータ!G66</f>
        <v>134</v>
      </c>
    </row>
    <row r="67" spans="2:4">
      <c r="B67" s="17">
        <f>アイスクリームの売り上げデータ!A67</f>
        <v>43530</v>
      </c>
      <c r="C67" s="11">
        <f>アイスクリームの売り上げデータ!C67</f>
        <v>10.8</v>
      </c>
      <c r="D67" s="11">
        <f>アイスクリームの売り上げデータ!G67</f>
        <v>150</v>
      </c>
    </row>
    <row r="68" spans="2:4">
      <c r="B68" s="17">
        <f>アイスクリームの売り上げデータ!A68</f>
        <v>43531</v>
      </c>
      <c r="C68" s="11">
        <f>アイスクリームの売り上げデータ!C68</f>
        <v>8.1999999999999993</v>
      </c>
      <c r="D68" s="11">
        <f>アイスクリームの売り上げデータ!G68</f>
        <v>86</v>
      </c>
    </row>
    <row r="69" spans="2:4">
      <c r="B69" s="17">
        <f>アイスクリームの売り上げデータ!A69</f>
        <v>43532</v>
      </c>
      <c r="C69" s="11">
        <f>アイスクリームの売り上げデータ!C69</f>
        <v>7.3</v>
      </c>
      <c r="D69" s="11">
        <f>アイスクリームの売り上げデータ!G69</f>
        <v>126</v>
      </c>
    </row>
    <row r="70" spans="2:4">
      <c r="B70" s="17">
        <f>アイスクリームの売り上げデータ!A70</f>
        <v>43533</v>
      </c>
      <c r="C70" s="11">
        <f>アイスクリームの売り上げデータ!C70</f>
        <v>10</v>
      </c>
      <c r="D70" s="11">
        <f>アイスクリームの売り上げデータ!G70</f>
        <v>154</v>
      </c>
    </row>
    <row r="71" spans="2:4">
      <c r="B71" s="17">
        <f>アイスクリームの売り上げデータ!A71</f>
        <v>43534</v>
      </c>
      <c r="C71" s="11">
        <f>アイスクリームの売り上げデータ!C71</f>
        <v>12.5</v>
      </c>
      <c r="D71" s="11">
        <f>アイスクリームの売り上げデータ!G71</f>
        <v>207</v>
      </c>
    </row>
    <row r="72" spans="2:4">
      <c r="B72" s="17">
        <f>アイスクリームの売り上げデータ!A72</f>
        <v>43535</v>
      </c>
      <c r="C72" s="11">
        <f>アイスクリームの売り上げデータ!C72</f>
        <v>12.3</v>
      </c>
      <c r="D72" s="11">
        <f>アイスクリームの売り上げデータ!G72</f>
        <v>79</v>
      </c>
    </row>
    <row r="73" spans="2:4">
      <c r="B73" s="17">
        <f>アイスクリームの売り上げデータ!A73</f>
        <v>43536</v>
      </c>
      <c r="C73" s="11">
        <f>アイスクリームの売り上げデータ!C73</f>
        <v>12.4</v>
      </c>
      <c r="D73" s="11">
        <f>アイスクリームの売り上げデータ!G73</f>
        <v>132</v>
      </c>
    </row>
    <row r="74" spans="2:4">
      <c r="B74" s="17">
        <f>アイスクリームの売り上げデータ!A74</f>
        <v>43537</v>
      </c>
      <c r="C74" s="11">
        <f>アイスクリームの売り上げデータ!C74</f>
        <v>11.7</v>
      </c>
      <c r="D74" s="11">
        <f>アイスクリームの売り上げデータ!G74</f>
        <v>140</v>
      </c>
    </row>
    <row r="75" spans="2:4">
      <c r="B75" s="17">
        <f>アイスクリームの売り上げデータ!A75</f>
        <v>43538</v>
      </c>
      <c r="C75" s="11">
        <f>アイスクリームの売り上げデータ!C75</f>
        <v>8.4</v>
      </c>
      <c r="D75" s="11">
        <f>アイスクリームの売り上げデータ!G75</f>
        <v>109</v>
      </c>
    </row>
    <row r="76" spans="2:4">
      <c r="B76" s="17">
        <f>アイスクリームの売り上げデータ!A76</f>
        <v>43539</v>
      </c>
      <c r="C76" s="11">
        <f>アイスクリームの売り上げデータ!C76</f>
        <v>9.6999999999999993</v>
      </c>
      <c r="D76" s="11">
        <f>アイスクリームの売り上げデータ!G76</f>
        <v>120</v>
      </c>
    </row>
    <row r="77" spans="2:4">
      <c r="B77" s="17">
        <f>アイスクリームの売り上げデータ!A77</f>
        <v>43540</v>
      </c>
      <c r="C77" s="11">
        <f>アイスクリームの売り上げデータ!C77</f>
        <v>8.9</v>
      </c>
      <c r="D77" s="11">
        <f>アイスクリームの売り上げデータ!G77</f>
        <v>164</v>
      </c>
    </row>
    <row r="78" spans="2:4">
      <c r="B78" s="17">
        <f>アイスクリームの売り上げデータ!A78</f>
        <v>43541</v>
      </c>
      <c r="C78" s="11">
        <f>アイスクリームの売り上げデータ!C78</f>
        <v>9.1</v>
      </c>
      <c r="D78" s="11">
        <f>アイスクリームの売り上げデータ!G78</f>
        <v>222</v>
      </c>
    </row>
    <row r="79" spans="2:4">
      <c r="B79" s="17">
        <f>アイスクリームの売り上げデータ!A79</f>
        <v>43542</v>
      </c>
      <c r="C79" s="11">
        <f>アイスクリームの売り上げデータ!C79</f>
        <v>9.6999999999999993</v>
      </c>
      <c r="D79" s="11">
        <f>アイスクリームの売り上げデータ!G79</f>
        <v>100</v>
      </c>
    </row>
    <row r="80" spans="2:4">
      <c r="B80" s="17">
        <f>アイスクリームの売り上げデータ!A80</f>
        <v>43543</v>
      </c>
      <c r="C80" s="11">
        <f>アイスクリームの売り上げデータ!C80</f>
        <v>13.2</v>
      </c>
      <c r="D80" s="11">
        <f>アイスクリームの売り上げデータ!G80</f>
        <v>134</v>
      </c>
    </row>
    <row r="81" spans="2:4">
      <c r="B81" s="17">
        <f>アイスクリームの売り上げデータ!A81</f>
        <v>43544</v>
      </c>
      <c r="C81" s="11">
        <f>アイスクリームの売り上げデータ!C81</f>
        <v>15</v>
      </c>
      <c r="D81" s="11">
        <f>アイスクリームの売り上げデータ!G81</f>
        <v>158</v>
      </c>
    </row>
    <row r="82" spans="2:4">
      <c r="B82" s="17">
        <f>アイスクリームの売り上げデータ!A82</f>
        <v>43545</v>
      </c>
      <c r="C82" s="11">
        <f>アイスクリームの売り上げデータ!C82</f>
        <v>17.7</v>
      </c>
      <c r="D82" s="11">
        <f>アイスクリームの売り上げデータ!G82</f>
        <v>140</v>
      </c>
    </row>
    <row r="83" spans="2:4">
      <c r="B83" s="17">
        <f>アイスクリームの売り上げデータ!A83</f>
        <v>43546</v>
      </c>
      <c r="C83" s="11">
        <f>アイスクリームの売り上げデータ!C83</f>
        <v>16.2</v>
      </c>
      <c r="D83" s="11">
        <f>アイスクリームの売り上げデータ!G83</f>
        <v>136</v>
      </c>
    </row>
    <row r="84" spans="2:4">
      <c r="B84" s="17">
        <f>アイスクリームの売り上げデータ!A84</f>
        <v>43547</v>
      </c>
      <c r="C84" s="11">
        <f>アイスクリームの売り上げデータ!C84</f>
        <v>7.1</v>
      </c>
      <c r="D84" s="11">
        <f>アイスクリームの売り上げデータ!G84</f>
        <v>156</v>
      </c>
    </row>
    <row r="85" spans="2:4">
      <c r="B85" s="17">
        <f>アイスクリームの売り上げデータ!A85</f>
        <v>43548</v>
      </c>
      <c r="C85" s="11">
        <f>アイスクリームの売り上げデータ!C85</f>
        <v>8.1999999999999993</v>
      </c>
      <c r="D85" s="11">
        <f>アイスクリームの売り上げデータ!G85</f>
        <v>218</v>
      </c>
    </row>
    <row r="86" spans="2:4">
      <c r="B86" s="17">
        <f>アイスクリームの売り上げデータ!A86</f>
        <v>43549</v>
      </c>
      <c r="C86" s="11">
        <f>アイスクリームの売り上げデータ!C86</f>
        <v>9.9</v>
      </c>
      <c r="D86" s="11">
        <f>アイスクリームの売り上げデータ!G86</f>
        <v>91</v>
      </c>
    </row>
    <row r="87" spans="2:4">
      <c r="B87" s="17">
        <f>アイスクリームの売り上げデータ!A87</f>
        <v>43550</v>
      </c>
      <c r="C87" s="11">
        <f>アイスクリームの売り上げデータ!C87</f>
        <v>11.9</v>
      </c>
      <c r="D87" s="11">
        <f>アイスクリームの売り上げデータ!G87</f>
        <v>126</v>
      </c>
    </row>
    <row r="88" spans="2:4">
      <c r="B88" s="17">
        <f>アイスクリームの売り上げデータ!A88</f>
        <v>43551</v>
      </c>
      <c r="C88" s="11">
        <f>アイスクリームの売り上げデータ!C88</f>
        <v>14.2</v>
      </c>
      <c r="D88" s="11">
        <f>アイスクリームの売り上げデータ!G88</f>
        <v>162</v>
      </c>
    </row>
    <row r="89" spans="2:4">
      <c r="B89" s="17">
        <f>アイスクリームの売り上げデータ!A89</f>
        <v>43552</v>
      </c>
      <c r="C89" s="11">
        <f>アイスクリームの売り上げデータ!C89</f>
        <v>13.6</v>
      </c>
      <c r="D89" s="11">
        <f>アイスクリームの売り上げデータ!G89</f>
        <v>137</v>
      </c>
    </row>
    <row r="90" spans="2:4">
      <c r="B90" s="17">
        <f>アイスクリームの売り上げデータ!A90</f>
        <v>43553</v>
      </c>
      <c r="C90" s="11">
        <f>アイスクリームの売り上げデータ!C90</f>
        <v>7.7</v>
      </c>
      <c r="D90" s="11">
        <f>アイスクリームの売り上げデータ!G90</f>
        <v>105</v>
      </c>
    </row>
    <row r="91" spans="2:4">
      <c r="B91" s="17">
        <f>アイスクリームの売り上げデータ!A91</f>
        <v>43554</v>
      </c>
      <c r="C91" s="11">
        <f>アイスクリームの売り上げデータ!C91</f>
        <v>8.6999999999999993</v>
      </c>
      <c r="D91" s="11">
        <f>アイスクリームの売り上げデータ!G91</f>
        <v>171</v>
      </c>
    </row>
    <row r="92" spans="2:4">
      <c r="B92" s="17">
        <f>アイスクリームの売り上げデータ!A92</f>
        <v>43555</v>
      </c>
      <c r="C92" s="11">
        <f>アイスクリームの売り上げデータ!C92</f>
        <v>10.5</v>
      </c>
      <c r="D92" s="11">
        <f>アイスクリームの売り上げデータ!G92</f>
        <v>220</v>
      </c>
    </row>
    <row r="93" spans="2:4">
      <c r="B93" s="17">
        <f>アイスクリームの売り上げデータ!A93</f>
        <v>43556</v>
      </c>
      <c r="C93" s="11">
        <f>アイスクリームの売り上げデータ!C93</f>
        <v>8.8000000000000007</v>
      </c>
      <c r="D93" s="11">
        <f>アイスクリームの売り上げデータ!G93</f>
        <v>89</v>
      </c>
    </row>
    <row r="94" spans="2:4">
      <c r="B94" s="17">
        <f>アイスクリームの売り上げデータ!A94</f>
        <v>43557</v>
      </c>
      <c r="C94" s="11">
        <f>アイスクリームの売り上げデータ!C94</f>
        <v>7.2</v>
      </c>
      <c r="D94" s="11">
        <f>アイスクリームの売り上げデータ!G94</f>
        <v>126</v>
      </c>
    </row>
    <row r="95" spans="2:4">
      <c r="B95" s="17">
        <f>アイスクリームの売り上げデータ!A95</f>
        <v>43558</v>
      </c>
      <c r="C95" s="11">
        <f>アイスクリームの売り上げデータ!C95</f>
        <v>8.1</v>
      </c>
      <c r="D95" s="11">
        <f>アイスクリームの売り上げデータ!G95</f>
        <v>149</v>
      </c>
    </row>
    <row r="96" spans="2:4">
      <c r="B96" s="17">
        <f>アイスクリームの売り上げデータ!A96</f>
        <v>43559</v>
      </c>
      <c r="C96" s="11">
        <f>アイスクリームの売り上げデータ!C96</f>
        <v>10.6</v>
      </c>
      <c r="D96" s="11">
        <f>アイスクリームの売り上げデータ!G96</f>
        <v>127</v>
      </c>
    </row>
    <row r="97" spans="2:4">
      <c r="B97" s="17">
        <f>アイスクリームの売り上げデータ!A97</f>
        <v>43560</v>
      </c>
      <c r="C97" s="11">
        <f>アイスクリームの売り上げデータ!C97</f>
        <v>15.4</v>
      </c>
      <c r="D97" s="11">
        <f>アイスクリームの売り上げデータ!G97</f>
        <v>130</v>
      </c>
    </row>
    <row r="98" spans="2:4">
      <c r="B98" s="17">
        <f>アイスクリームの売り上げデータ!A98</f>
        <v>43561</v>
      </c>
      <c r="C98" s="11">
        <f>アイスクリームの売り上げデータ!C98</f>
        <v>15.9</v>
      </c>
      <c r="D98" s="11">
        <f>アイスクリームの売り上げデータ!G98</f>
        <v>173</v>
      </c>
    </row>
    <row r="99" spans="2:4">
      <c r="B99" s="17">
        <f>アイスクリームの売り上げデータ!A99</f>
        <v>43562</v>
      </c>
      <c r="C99" s="11">
        <f>アイスクリームの売り上げデータ!C99</f>
        <v>15.5</v>
      </c>
      <c r="D99" s="11">
        <f>アイスクリームの売り上げデータ!G99</f>
        <v>245</v>
      </c>
    </row>
    <row r="100" spans="2:4">
      <c r="B100" s="17">
        <f>アイスクリームの売り上げデータ!A100</f>
        <v>43563</v>
      </c>
      <c r="C100" s="11">
        <f>アイスクリームの売り上げデータ!C100</f>
        <v>9.3000000000000007</v>
      </c>
      <c r="D100" s="11">
        <f>アイスクリームの売り上げデータ!G100</f>
        <v>96</v>
      </c>
    </row>
    <row r="101" spans="2:4">
      <c r="B101" s="17">
        <f>アイスクリームの売り上げデータ!A101</f>
        <v>43564</v>
      </c>
      <c r="C101" s="11">
        <f>アイスクリームの売り上げデータ!C101</f>
        <v>10.3</v>
      </c>
      <c r="D101" s="11">
        <f>アイスクリームの売り上げデータ!G101</f>
        <v>117</v>
      </c>
    </row>
    <row r="102" spans="2:4">
      <c r="B102" s="17">
        <f>アイスクリームの売り上げデータ!A102</f>
        <v>43565</v>
      </c>
      <c r="C102" s="11">
        <f>アイスクリームの売り上げデータ!C102</f>
        <v>5.7</v>
      </c>
      <c r="D102" s="11">
        <f>アイスクリームの売り上げデータ!G102</f>
        <v>100</v>
      </c>
    </row>
    <row r="103" spans="2:4">
      <c r="B103" s="17">
        <f>アイスクリームの売り上げデータ!A103</f>
        <v>43566</v>
      </c>
      <c r="C103" s="11">
        <f>アイスクリームの売り上げデータ!C103</f>
        <v>10.4</v>
      </c>
      <c r="D103" s="11">
        <f>アイスクリームの売り上げデータ!G103</f>
        <v>121</v>
      </c>
    </row>
    <row r="104" spans="2:4">
      <c r="B104" s="17">
        <f>アイスクリームの売り上げデータ!A104</f>
        <v>43567</v>
      </c>
      <c r="C104" s="11">
        <f>アイスクリームの売り上げデータ!C104</f>
        <v>9.6</v>
      </c>
      <c r="D104" s="11">
        <f>アイスクリームの売り上げデータ!G104</f>
        <v>119</v>
      </c>
    </row>
    <row r="105" spans="2:4">
      <c r="B105" s="17">
        <f>アイスクリームの売り上げデータ!A105</f>
        <v>43568</v>
      </c>
      <c r="C105" s="11">
        <f>アイスクリームの売り上げデータ!C105</f>
        <v>12.1</v>
      </c>
      <c r="D105" s="11">
        <f>アイスクリームの売り上げデータ!G105</f>
        <v>193</v>
      </c>
    </row>
    <row r="106" spans="2:4">
      <c r="B106" s="17">
        <f>アイスクリームの売り上げデータ!A106</f>
        <v>43569</v>
      </c>
      <c r="C106" s="11">
        <f>アイスクリームの売り上げデータ!C106</f>
        <v>14.7</v>
      </c>
      <c r="D106" s="11">
        <f>アイスクリームの売り上げデータ!G106</f>
        <v>202</v>
      </c>
    </row>
    <row r="107" spans="2:4">
      <c r="B107" s="17">
        <f>アイスクリームの売り上げデータ!A107</f>
        <v>43570</v>
      </c>
      <c r="C107" s="11">
        <f>アイスクリームの売り上げデータ!C107</f>
        <v>16</v>
      </c>
      <c r="D107" s="11">
        <f>アイスクリームの売り上げデータ!G107</f>
        <v>114</v>
      </c>
    </row>
    <row r="108" spans="2:4">
      <c r="B108" s="17">
        <f>アイスクリームの売り上げデータ!A108</f>
        <v>43571</v>
      </c>
      <c r="C108" s="11">
        <f>アイスクリームの売り上げデータ!C108</f>
        <v>15.3</v>
      </c>
      <c r="D108" s="11">
        <f>アイスクリームの売り上げデータ!G108</f>
        <v>146</v>
      </c>
    </row>
    <row r="109" spans="2:4">
      <c r="B109" s="17">
        <f>アイスクリームの売り上げデータ!A109</f>
        <v>43572</v>
      </c>
      <c r="C109" s="11">
        <f>アイスクリームの売り上げデータ!C109</f>
        <v>15.5</v>
      </c>
      <c r="D109" s="11">
        <f>アイスクリームの売り上げデータ!G109</f>
        <v>165</v>
      </c>
    </row>
    <row r="110" spans="2:4">
      <c r="B110" s="17">
        <f>アイスクリームの売り上げデータ!A110</f>
        <v>43573</v>
      </c>
      <c r="C110" s="11">
        <f>アイスクリームの売り上げデータ!C110</f>
        <v>17.5</v>
      </c>
      <c r="D110" s="11">
        <f>アイスクリームの売り上げデータ!G110</f>
        <v>141</v>
      </c>
    </row>
    <row r="111" spans="2:4">
      <c r="B111" s="17">
        <f>アイスクリームの売り上げデータ!A111</f>
        <v>43574</v>
      </c>
      <c r="C111" s="11">
        <f>アイスクリームの売り上げデータ!C111</f>
        <v>18.3</v>
      </c>
      <c r="D111" s="11">
        <f>アイスクリームの売り上げデータ!G111</f>
        <v>161</v>
      </c>
    </row>
    <row r="112" spans="2:4">
      <c r="B112" s="17">
        <f>アイスクリームの売り上げデータ!A112</f>
        <v>43575</v>
      </c>
      <c r="C112" s="11">
        <f>アイスクリームの売り上げデータ!C112</f>
        <v>14.2</v>
      </c>
      <c r="D112" s="11">
        <f>アイスクリームの売り上げデータ!G112</f>
        <v>202</v>
      </c>
    </row>
    <row r="113" spans="2:4">
      <c r="B113" s="17">
        <f>アイスクリームの売り上げデータ!A113</f>
        <v>43576</v>
      </c>
      <c r="C113" s="11">
        <f>アイスクリームの売り上げデータ!C113</f>
        <v>17.5</v>
      </c>
      <c r="D113" s="11">
        <f>アイスクリームの売り上げデータ!G113</f>
        <v>235</v>
      </c>
    </row>
    <row r="114" spans="2:4">
      <c r="B114" s="17">
        <f>アイスクリームの売り上げデータ!A114</f>
        <v>43577</v>
      </c>
      <c r="C114" s="11">
        <f>アイスクリームの売り上げデータ!C114</f>
        <v>19.2</v>
      </c>
      <c r="D114" s="11">
        <f>アイスクリームの売り上げデータ!G114</f>
        <v>131</v>
      </c>
    </row>
    <row r="115" spans="2:4">
      <c r="B115" s="17">
        <f>アイスクリームの売り上げデータ!A115</f>
        <v>43578</v>
      </c>
      <c r="C115" s="11">
        <f>アイスクリームの売り上げデータ!C115</f>
        <v>18.7</v>
      </c>
      <c r="D115" s="11">
        <f>アイスクリームの売り上げデータ!G115</f>
        <v>162</v>
      </c>
    </row>
    <row r="116" spans="2:4">
      <c r="B116" s="17">
        <f>アイスクリームの売り上げデータ!A116</f>
        <v>43579</v>
      </c>
      <c r="C116" s="11">
        <f>アイスクリームの売り上げデータ!C116</f>
        <v>19.100000000000001</v>
      </c>
      <c r="D116" s="11">
        <f>アイスクリームの売り上げデータ!G116</f>
        <v>177</v>
      </c>
    </row>
    <row r="117" spans="2:4">
      <c r="B117" s="17">
        <f>アイスクリームの売り上げデータ!A117</f>
        <v>43580</v>
      </c>
      <c r="C117" s="11">
        <f>アイスクリームの売り上げデータ!C117</f>
        <v>20.3</v>
      </c>
      <c r="D117" s="11">
        <f>アイスクリームの売り上げデータ!G117</f>
        <v>155</v>
      </c>
    </row>
    <row r="118" spans="2:4">
      <c r="B118" s="17">
        <f>アイスクリームの売り上げデータ!A118</f>
        <v>43581</v>
      </c>
      <c r="C118" s="11">
        <f>アイスクリームの売り上げデータ!C118</f>
        <v>11.6</v>
      </c>
      <c r="D118" s="11">
        <f>アイスクリームの売り上げデータ!G118</f>
        <v>131</v>
      </c>
    </row>
    <row r="119" spans="2:4">
      <c r="B119" s="17">
        <f>アイスクリームの売り上げデータ!A119</f>
        <v>43582</v>
      </c>
      <c r="C119" s="11">
        <f>アイスクリームの売り上げデータ!C119</f>
        <v>10.199999999999999</v>
      </c>
      <c r="D119" s="11">
        <f>アイスクリームの売り上げデータ!G119</f>
        <v>157</v>
      </c>
    </row>
    <row r="120" spans="2:4">
      <c r="B120" s="17">
        <f>アイスクリームの売り上げデータ!A120</f>
        <v>43583</v>
      </c>
      <c r="C120" s="11">
        <f>アイスクリームの売り上げデータ!C120</f>
        <v>12.6</v>
      </c>
      <c r="D120" s="11">
        <f>アイスクリームの売り上げデータ!G120</f>
        <v>224</v>
      </c>
    </row>
    <row r="121" spans="2:4">
      <c r="B121" s="17">
        <f>アイスクリームの売り上げデータ!A121</f>
        <v>43584</v>
      </c>
      <c r="C121" s="11">
        <f>アイスクリームの売り上げデータ!C121</f>
        <v>14.8</v>
      </c>
      <c r="D121" s="11">
        <f>アイスクリームの売り上げデータ!G121</f>
        <v>126</v>
      </c>
    </row>
    <row r="122" spans="2:4">
      <c r="B122" s="17">
        <f>アイスクリームの売り上げデータ!A122</f>
        <v>43585</v>
      </c>
      <c r="C122" s="11">
        <f>アイスクリームの売り上げデータ!C122</f>
        <v>14.8</v>
      </c>
      <c r="D122" s="11">
        <f>アイスクリームの売り上げデータ!G122</f>
        <v>123</v>
      </c>
    </row>
    <row r="123" spans="2:4">
      <c r="B123" s="17">
        <f>アイスクリームの売り上げデータ!A123</f>
        <v>43586</v>
      </c>
      <c r="C123" s="11">
        <f>アイスクリームの売り上げデータ!C123</f>
        <v>17.399999999999999</v>
      </c>
      <c r="D123" s="11">
        <f>アイスクリームの売り上げデータ!G123</f>
        <v>147</v>
      </c>
    </row>
    <row r="124" spans="2:4">
      <c r="B124" s="17">
        <f>アイスクリームの売り上げデータ!A124</f>
        <v>43587</v>
      </c>
      <c r="C124" s="11">
        <f>アイスクリームの売り上げデータ!C124</f>
        <v>17.3</v>
      </c>
      <c r="D124" s="11">
        <f>アイスクリームの売り上げデータ!G124</f>
        <v>157</v>
      </c>
    </row>
    <row r="125" spans="2:4">
      <c r="B125" s="17">
        <f>アイスクリームの売り上げデータ!A125</f>
        <v>43588</v>
      </c>
      <c r="C125" s="11">
        <f>アイスクリームの売り上げデータ!C125</f>
        <v>18.5</v>
      </c>
      <c r="D125" s="11">
        <f>アイスクリームの売り上げデータ!G125</f>
        <v>148</v>
      </c>
    </row>
    <row r="126" spans="2:4">
      <c r="B126" s="17">
        <f>アイスクリームの売り上げデータ!A126</f>
        <v>43589</v>
      </c>
      <c r="C126" s="11">
        <f>アイスクリームの売り上げデータ!C126</f>
        <v>18.399999999999999</v>
      </c>
      <c r="D126" s="11">
        <f>アイスクリームの売り上げデータ!G126</f>
        <v>216</v>
      </c>
    </row>
    <row r="127" spans="2:4">
      <c r="B127" s="17">
        <f>アイスクリームの売り上げデータ!A127</f>
        <v>43590</v>
      </c>
      <c r="C127" s="11">
        <f>アイスクリームの売り上げデータ!C127</f>
        <v>18.899999999999999</v>
      </c>
      <c r="D127" s="11">
        <f>アイスクリームの売り上げデータ!G127</f>
        <v>218</v>
      </c>
    </row>
    <row r="128" spans="2:4">
      <c r="B128" s="17">
        <f>アイスクリームの売り上げデータ!A128</f>
        <v>43591</v>
      </c>
      <c r="C128" s="11">
        <f>アイスクリームの売り上げデータ!C128</f>
        <v>18.8</v>
      </c>
      <c r="D128" s="11">
        <f>アイスクリームの売り上げデータ!G128</f>
        <v>124</v>
      </c>
    </row>
    <row r="129" spans="2:4">
      <c r="B129" s="17">
        <f>アイスクリームの売り上げデータ!A129</f>
        <v>43592</v>
      </c>
      <c r="C129" s="11">
        <f>アイスクリームの売り上げデータ!C129</f>
        <v>15.3</v>
      </c>
      <c r="D129" s="11">
        <f>アイスクリームの売り上げデータ!G129</f>
        <v>135</v>
      </c>
    </row>
    <row r="130" spans="2:4">
      <c r="B130" s="17">
        <f>アイスクリームの売り上げデータ!A130</f>
        <v>43593</v>
      </c>
      <c r="C130" s="11">
        <f>アイスクリームの売り上げデータ!C130</f>
        <v>16.5</v>
      </c>
      <c r="D130" s="11">
        <f>アイスクリームの売り上げデータ!G130</f>
        <v>178</v>
      </c>
    </row>
    <row r="131" spans="2:4">
      <c r="B131" s="17">
        <f>アイスクリームの売り上げデータ!A131</f>
        <v>43594</v>
      </c>
      <c r="C131" s="11">
        <f>アイスクリームの売り上げデータ!C131</f>
        <v>18.600000000000001</v>
      </c>
      <c r="D131" s="11">
        <f>アイスクリームの売り上げデータ!G131</f>
        <v>163</v>
      </c>
    </row>
    <row r="132" spans="2:4">
      <c r="B132" s="17">
        <f>アイスクリームの売り上げデータ!A132</f>
        <v>43595</v>
      </c>
      <c r="C132" s="11">
        <f>アイスクリームの売り上げデータ!C132</f>
        <v>20.6</v>
      </c>
      <c r="D132" s="11">
        <f>アイスクリームの売り上げデータ!G132</f>
        <v>155</v>
      </c>
    </row>
    <row r="133" spans="2:4">
      <c r="B133" s="17">
        <f>アイスクリームの売り上げデータ!A133</f>
        <v>43596</v>
      </c>
      <c r="C133" s="11">
        <f>アイスクリームの売り上げデータ!C133</f>
        <v>20.9</v>
      </c>
      <c r="D133" s="11">
        <f>アイスクリームの売り上げデータ!G133</f>
        <v>217</v>
      </c>
    </row>
    <row r="134" spans="2:4">
      <c r="B134" s="17">
        <f>アイスクリームの売り上げデータ!A134</f>
        <v>43597</v>
      </c>
      <c r="C134" s="11">
        <f>アイスクリームの売り上げデータ!C134</f>
        <v>17.600000000000001</v>
      </c>
      <c r="D134" s="11">
        <f>アイスクリームの売り上げデータ!G134</f>
        <v>236</v>
      </c>
    </row>
    <row r="135" spans="2:4">
      <c r="B135" s="17">
        <f>アイスクリームの売り上げデータ!A135</f>
        <v>43598</v>
      </c>
      <c r="C135" s="11">
        <f>アイスクリームの売り上げデータ!C135</f>
        <v>17.7</v>
      </c>
      <c r="D135" s="11">
        <f>アイスクリームの売り上げデータ!G135</f>
        <v>127</v>
      </c>
    </row>
    <row r="136" spans="2:4">
      <c r="B136" s="17">
        <f>アイスクリームの売り上げデータ!A136</f>
        <v>43599</v>
      </c>
      <c r="C136" s="11">
        <f>アイスクリームの売り上げデータ!C136</f>
        <v>17.899999999999999</v>
      </c>
      <c r="D136" s="11">
        <f>アイスクリームの売り上げデータ!G136</f>
        <v>139</v>
      </c>
    </row>
    <row r="137" spans="2:4">
      <c r="B137" s="17">
        <f>アイスクリームの売り上げデータ!A137</f>
        <v>43600</v>
      </c>
      <c r="C137" s="11">
        <f>アイスクリームの売り上げデータ!C137</f>
        <v>18.7</v>
      </c>
      <c r="D137" s="11">
        <f>アイスクリームの売り上げデータ!G137</f>
        <v>181</v>
      </c>
    </row>
    <row r="138" spans="2:4">
      <c r="B138" s="17">
        <f>アイスクリームの売り上げデータ!A138</f>
        <v>43601</v>
      </c>
      <c r="C138" s="11">
        <f>アイスクリームの売り上げデータ!C138</f>
        <v>20</v>
      </c>
      <c r="D138" s="11">
        <f>アイスクリームの売り上げデータ!G138</f>
        <v>159</v>
      </c>
    </row>
    <row r="139" spans="2:4">
      <c r="B139" s="17">
        <f>アイスクリームの売り上げデータ!A139</f>
        <v>43602</v>
      </c>
      <c r="C139" s="11">
        <f>アイスクリームの売り上げデータ!C139</f>
        <v>20</v>
      </c>
      <c r="D139" s="11">
        <f>アイスクリームの売り上げデータ!G139</f>
        <v>162</v>
      </c>
    </row>
    <row r="140" spans="2:4">
      <c r="B140" s="17">
        <f>アイスクリームの売り上げデータ!A140</f>
        <v>43603</v>
      </c>
      <c r="C140" s="11">
        <f>アイスクリームの売り上げデータ!C140</f>
        <v>20.3</v>
      </c>
      <c r="D140" s="11">
        <f>アイスクリームの売り上げデータ!G140</f>
        <v>194</v>
      </c>
    </row>
    <row r="141" spans="2:4">
      <c r="B141" s="17">
        <f>アイスクリームの売り上げデータ!A141</f>
        <v>43604</v>
      </c>
      <c r="C141" s="11">
        <f>アイスクリームの売り上げデータ!C141</f>
        <v>20.5</v>
      </c>
      <c r="D141" s="11">
        <f>アイスクリームの売り上げデータ!G141</f>
        <v>240</v>
      </c>
    </row>
    <row r="142" spans="2:4">
      <c r="B142" s="17">
        <f>アイスクリームの売り上げデータ!A142</f>
        <v>43605</v>
      </c>
      <c r="C142" s="11">
        <f>アイスクリームの売り上げデータ!C142</f>
        <v>20.5</v>
      </c>
      <c r="D142" s="11">
        <f>アイスクリームの売り上げデータ!G142</f>
        <v>134</v>
      </c>
    </row>
    <row r="143" spans="2:4">
      <c r="B143" s="17">
        <f>アイスクリームの売り上げデータ!A143</f>
        <v>43606</v>
      </c>
      <c r="C143" s="11">
        <f>アイスクリームの売り上げデータ!C143</f>
        <v>19.399999999999999</v>
      </c>
      <c r="D143" s="11">
        <f>アイスクリームの売り上げデータ!G143</f>
        <v>69</v>
      </c>
    </row>
    <row r="144" spans="2:4">
      <c r="B144" s="17">
        <f>アイスクリームの売り上げデータ!A144</f>
        <v>43607</v>
      </c>
      <c r="C144" s="11">
        <f>アイスクリームの売り上げデータ!C144</f>
        <v>19.399999999999999</v>
      </c>
      <c r="D144" s="11">
        <f>アイスクリームの売り上げデータ!G144</f>
        <v>183</v>
      </c>
    </row>
    <row r="145" spans="2:4">
      <c r="B145" s="17">
        <f>アイスクリームの売り上げデータ!A145</f>
        <v>43608</v>
      </c>
      <c r="C145" s="11">
        <f>アイスクリームの売り上げデータ!C145</f>
        <v>21.3</v>
      </c>
      <c r="D145" s="11">
        <f>アイスクリームの売り上げデータ!G145</f>
        <v>151</v>
      </c>
    </row>
    <row r="146" spans="2:4">
      <c r="B146" s="17">
        <f>アイスクリームの売り上げデータ!A146</f>
        <v>43609</v>
      </c>
      <c r="C146" s="11">
        <f>アイスクリームの売り上げデータ!C146</f>
        <v>23.1</v>
      </c>
      <c r="D146" s="11">
        <f>アイスクリームの売り上げデータ!G146</f>
        <v>172</v>
      </c>
    </row>
    <row r="147" spans="2:4">
      <c r="B147" s="17">
        <f>アイスクリームの売り上げデータ!A147</f>
        <v>43610</v>
      </c>
      <c r="C147" s="11">
        <f>アイスクリームの売り上げデータ!C147</f>
        <v>24.4</v>
      </c>
      <c r="D147" s="11">
        <f>アイスクリームの売り上げデータ!G147</f>
        <v>231</v>
      </c>
    </row>
    <row r="148" spans="2:4">
      <c r="B148" s="17">
        <f>アイスクリームの売り上げデータ!A148</f>
        <v>43611</v>
      </c>
      <c r="C148" s="11">
        <f>アイスクリームの売り上げデータ!C148</f>
        <v>25.2</v>
      </c>
      <c r="D148" s="11">
        <f>アイスクリームの売り上げデータ!G148</f>
        <v>248</v>
      </c>
    </row>
    <row r="149" spans="2:4">
      <c r="B149" s="17">
        <f>アイスクリームの売り上げデータ!A149</f>
        <v>43612</v>
      </c>
      <c r="C149" s="11">
        <f>アイスクリームの売り上げデータ!C149</f>
        <v>26.1</v>
      </c>
      <c r="D149" s="11">
        <f>アイスクリームの売り上げデータ!G149</f>
        <v>149</v>
      </c>
    </row>
    <row r="150" spans="2:4">
      <c r="B150" s="17">
        <f>アイスクリームの売り上げデータ!A150</f>
        <v>43613</v>
      </c>
      <c r="C150" s="11">
        <f>アイスクリームの売り上げデータ!C150</f>
        <v>23.5</v>
      </c>
      <c r="D150" s="11">
        <f>アイスクリームの売り上げデータ!G150</f>
        <v>168</v>
      </c>
    </row>
    <row r="151" spans="2:4">
      <c r="B151" s="17">
        <f>アイスクリームの売り上げデータ!A151</f>
        <v>43614</v>
      </c>
      <c r="C151" s="11">
        <f>アイスクリームの売り上げデータ!C151</f>
        <v>20.2</v>
      </c>
      <c r="D151" s="11">
        <f>アイスクリームの売り上げデータ!G151</f>
        <v>174</v>
      </c>
    </row>
    <row r="152" spans="2:4">
      <c r="B152" s="17">
        <f>アイスクリームの売り上げデータ!A152</f>
        <v>43615</v>
      </c>
      <c r="C152" s="11">
        <f>アイスクリームの売り上げデータ!C152</f>
        <v>21.2</v>
      </c>
      <c r="D152" s="11">
        <f>アイスクリームの売り上げデータ!G152</f>
        <v>164</v>
      </c>
    </row>
    <row r="153" spans="2:4">
      <c r="B153" s="17">
        <f>アイスクリームの売り上げデータ!A153</f>
        <v>43616</v>
      </c>
      <c r="C153" s="11">
        <f>アイスクリームの売り上げデータ!C153</f>
        <v>21.6</v>
      </c>
      <c r="D153" s="11">
        <f>アイスクリームの売り上げデータ!G153</f>
        <v>175</v>
      </c>
    </row>
    <row r="154" spans="2:4">
      <c r="B154" s="17">
        <f>アイスクリームの売り上げデータ!A154</f>
        <v>43617</v>
      </c>
      <c r="C154" s="11">
        <f>アイスクリームの売り上げデータ!C154</f>
        <v>21.8</v>
      </c>
      <c r="D154" s="11">
        <f>アイスクリームの売り上げデータ!G154</f>
        <v>207</v>
      </c>
    </row>
    <row r="155" spans="2:4">
      <c r="B155" s="17">
        <f>アイスクリームの売り上げデータ!A155</f>
        <v>43618</v>
      </c>
      <c r="C155" s="11">
        <f>アイスクリームの売り上げデータ!C155</f>
        <v>22</v>
      </c>
      <c r="D155" s="11">
        <f>アイスクリームの売り上げデータ!G155</f>
        <v>227</v>
      </c>
    </row>
    <row r="156" spans="2:4">
      <c r="B156" s="17">
        <f>アイスクリームの売り上げデータ!A156</f>
        <v>43619</v>
      </c>
      <c r="C156" s="11">
        <f>アイスクリームの売り上げデータ!C156</f>
        <v>22.2</v>
      </c>
      <c r="D156" s="11">
        <f>アイスクリームの売り上げデータ!G156</f>
        <v>140</v>
      </c>
    </row>
    <row r="157" spans="2:4">
      <c r="B157" s="17">
        <f>アイスクリームの売り上げデータ!A157</f>
        <v>43620</v>
      </c>
      <c r="C157" s="11">
        <f>アイスクリームの売り上げデータ!C157</f>
        <v>22.4</v>
      </c>
      <c r="D157" s="11">
        <f>アイスクリームの売り上げデータ!G157</f>
        <v>168</v>
      </c>
    </row>
    <row r="158" spans="2:4">
      <c r="B158" s="17">
        <f>アイスクリームの売り上げデータ!A158</f>
        <v>43621</v>
      </c>
      <c r="C158" s="11">
        <f>アイスクリームの売り上げデータ!C158</f>
        <v>22.6</v>
      </c>
      <c r="D158" s="11">
        <f>アイスクリームの売り上げデータ!G158</f>
        <v>178</v>
      </c>
    </row>
    <row r="159" spans="2:4">
      <c r="B159" s="17">
        <f>アイスクリームの売り上げデータ!A159</f>
        <v>43622</v>
      </c>
      <c r="C159" s="11">
        <f>アイスクリームの売り上げデータ!C159</f>
        <v>25.2</v>
      </c>
      <c r="D159" s="11">
        <f>アイスクリームの売り上げデータ!G159</f>
        <v>167</v>
      </c>
    </row>
    <row r="160" spans="2:4">
      <c r="B160" s="17">
        <f>アイスクリームの売り上げデータ!A160</f>
        <v>43623</v>
      </c>
      <c r="C160" s="11">
        <f>アイスクリームの売り上げデータ!C160</f>
        <v>21</v>
      </c>
      <c r="D160" s="11">
        <f>アイスクリームの売り上げデータ!G160</f>
        <v>137</v>
      </c>
    </row>
    <row r="161" spans="2:4">
      <c r="B161" s="17">
        <f>アイスクリームの売り上げデータ!A161</f>
        <v>43624</v>
      </c>
      <c r="C161" s="11">
        <f>アイスクリームの売り上げデータ!C161</f>
        <v>20.8</v>
      </c>
      <c r="D161" s="11">
        <f>アイスクリームの売り上げデータ!G161</f>
        <v>215</v>
      </c>
    </row>
    <row r="162" spans="2:4">
      <c r="B162" s="17">
        <f>アイスクリームの売り上げデータ!A162</f>
        <v>43625</v>
      </c>
      <c r="C162" s="11">
        <f>アイスクリームの売り上げデータ!C162</f>
        <v>17.5</v>
      </c>
      <c r="D162" s="11">
        <f>アイスクリームの売り上げデータ!G162</f>
        <v>212</v>
      </c>
    </row>
    <row r="163" spans="2:4">
      <c r="B163" s="17">
        <f>アイスクリームの売り上げデータ!A163</f>
        <v>43626</v>
      </c>
      <c r="C163" s="11">
        <f>アイスクリームの売り上げデータ!C163</f>
        <v>16.2</v>
      </c>
      <c r="D163" s="11">
        <f>アイスクリームの売り上げデータ!G163</f>
        <v>31</v>
      </c>
    </row>
    <row r="164" spans="2:4">
      <c r="B164" s="17">
        <f>アイスクリームの売り上げデータ!A164</f>
        <v>43627</v>
      </c>
      <c r="C164" s="11">
        <f>アイスクリームの売り上げデータ!C164</f>
        <v>18.3</v>
      </c>
      <c r="D164" s="11">
        <f>アイスクリームの売り上げデータ!G164</f>
        <v>155</v>
      </c>
    </row>
    <row r="165" spans="2:4">
      <c r="B165" s="17">
        <f>アイスクリームの売り上げデータ!A165</f>
        <v>43628</v>
      </c>
      <c r="C165" s="11">
        <f>アイスクリームの売り上げデータ!C165</f>
        <v>18</v>
      </c>
      <c r="D165" s="11">
        <f>アイスクリームの売り上げデータ!G165</f>
        <v>160</v>
      </c>
    </row>
    <row r="166" spans="2:4">
      <c r="B166" s="17">
        <f>アイスクリームの売り上げデータ!A166</f>
        <v>43629</v>
      </c>
      <c r="C166" s="11">
        <f>アイスクリームの売り上げデータ!C166</f>
        <v>20.7</v>
      </c>
      <c r="D166" s="11">
        <f>アイスクリームの売り上げデータ!G166</f>
        <v>151</v>
      </c>
    </row>
    <row r="167" spans="2:4">
      <c r="B167" s="17">
        <f>アイスクリームの売り上げデータ!A167</f>
        <v>43630</v>
      </c>
      <c r="C167" s="11">
        <f>アイスクリームの売り上げデータ!C167</f>
        <v>22.2</v>
      </c>
      <c r="D167" s="11">
        <f>アイスクリームの売り上げデータ!G167</f>
        <v>176</v>
      </c>
    </row>
    <row r="168" spans="2:4">
      <c r="B168" s="17">
        <f>アイスクリームの売り上げデータ!A168</f>
        <v>43631</v>
      </c>
      <c r="C168" s="11">
        <f>アイスクリームの売り上げデータ!C168</f>
        <v>17.3</v>
      </c>
      <c r="D168" s="11">
        <f>アイスクリームの売り上げデータ!G168</f>
        <v>144</v>
      </c>
    </row>
    <row r="169" spans="2:4">
      <c r="B169" s="17">
        <f>アイスクリームの売り上げデータ!A169</f>
        <v>43632</v>
      </c>
      <c r="C169" s="11">
        <f>アイスクリームの売り上げデータ!C169</f>
        <v>23.5</v>
      </c>
      <c r="D169" s="11">
        <f>アイスクリームの売り上げデータ!G169</f>
        <v>234</v>
      </c>
    </row>
    <row r="170" spans="2:4">
      <c r="B170" s="17">
        <f>アイスクリームの売り上げデータ!A170</f>
        <v>43633</v>
      </c>
      <c r="C170" s="11">
        <f>アイスクリームの売り上げデータ!C170</f>
        <v>23.6</v>
      </c>
      <c r="D170" s="11">
        <f>アイスクリームの売り上げデータ!G170</f>
        <v>155</v>
      </c>
    </row>
    <row r="171" spans="2:4">
      <c r="B171" s="17">
        <f>アイスクリームの売り上げデータ!A171</f>
        <v>43634</v>
      </c>
      <c r="C171" s="11">
        <f>アイスクリームの売り上げデータ!C171</f>
        <v>23.4</v>
      </c>
      <c r="D171" s="11">
        <f>アイスクリームの売り上げデータ!G171</f>
        <v>181</v>
      </c>
    </row>
    <row r="172" spans="2:4">
      <c r="B172" s="17">
        <f>アイスクリームの売り上げデータ!A172</f>
        <v>43635</v>
      </c>
      <c r="C172" s="11">
        <f>アイスクリームの売り上げデータ!C172</f>
        <v>23.5</v>
      </c>
      <c r="D172" s="11">
        <f>アイスクリームの売り上げデータ!G172</f>
        <v>190</v>
      </c>
    </row>
    <row r="173" spans="2:4">
      <c r="B173" s="17">
        <f>アイスクリームの売り上げデータ!A173</f>
        <v>43636</v>
      </c>
      <c r="C173" s="11">
        <f>アイスクリームの売り上げデータ!C173</f>
        <v>24.1</v>
      </c>
      <c r="D173" s="11">
        <f>アイスクリームの売り上げデータ!G173</f>
        <v>183</v>
      </c>
    </row>
    <row r="174" spans="2:4">
      <c r="B174" s="17">
        <f>アイスクリームの売り上げデータ!A174</f>
        <v>43637</v>
      </c>
      <c r="C174" s="11">
        <f>アイスクリームの売り上げデータ!C174</f>
        <v>24.6</v>
      </c>
      <c r="D174" s="11">
        <f>アイスクリームの売り上げデータ!G174</f>
        <v>184</v>
      </c>
    </row>
    <row r="175" spans="2:4">
      <c r="B175" s="17">
        <f>アイスクリームの売り上げデータ!A175</f>
        <v>43638</v>
      </c>
      <c r="C175" s="11">
        <f>アイスクリームの売り上げデータ!C175</f>
        <v>22.2</v>
      </c>
      <c r="D175" s="11">
        <f>アイスクリームの売り上げデータ!G175</f>
        <v>219</v>
      </c>
    </row>
    <row r="176" spans="2:4">
      <c r="B176" s="17">
        <f>アイスクリームの売り上げデータ!A176</f>
        <v>43639</v>
      </c>
      <c r="C176" s="11">
        <f>アイスクリームの売り上げデータ!C176</f>
        <v>21.4</v>
      </c>
      <c r="D176" s="11">
        <f>アイスクリームの売り上げデータ!G176</f>
        <v>245</v>
      </c>
    </row>
    <row r="177" spans="2:4">
      <c r="B177" s="17">
        <f>アイスクリームの売り上げデータ!A177</f>
        <v>43640</v>
      </c>
      <c r="C177" s="11">
        <f>アイスクリームの売り上げデータ!C177</f>
        <v>19.100000000000001</v>
      </c>
      <c r="D177" s="11">
        <f>アイスクリームの売り上げデータ!G177</f>
        <v>102</v>
      </c>
    </row>
    <row r="178" spans="2:4">
      <c r="B178" s="17">
        <f>アイスクリームの売り上げデータ!A178</f>
        <v>43641</v>
      </c>
      <c r="C178" s="11">
        <f>アイスクリームの売り上げデータ!C178</f>
        <v>22.3</v>
      </c>
      <c r="D178" s="11">
        <f>アイスクリームの売り上げデータ!G178</f>
        <v>157</v>
      </c>
    </row>
    <row r="179" spans="2:4">
      <c r="B179" s="17">
        <f>アイスクリームの売り上げデータ!A179</f>
        <v>43642</v>
      </c>
      <c r="C179" s="11">
        <f>アイスクリームの売り上げデータ!C179</f>
        <v>24.7</v>
      </c>
      <c r="D179" s="11">
        <f>アイスクリームの売り上げデータ!G179</f>
        <v>191</v>
      </c>
    </row>
    <row r="180" spans="2:4">
      <c r="B180" s="17">
        <f>アイスクリームの売り上げデータ!A180</f>
        <v>43643</v>
      </c>
      <c r="C180" s="11">
        <f>アイスクリームの売り上げデータ!C180</f>
        <v>25.6</v>
      </c>
      <c r="D180" s="11">
        <f>アイスクリームの売り上げデータ!G180</f>
        <v>169</v>
      </c>
    </row>
    <row r="181" spans="2:4">
      <c r="B181" s="17">
        <f>アイスクリームの売り上げデータ!A181</f>
        <v>43644</v>
      </c>
      <c r="C181" s="11">
        <f>アイスクリームの売り上げデータ!C181</f>
        <v>25.2</v>
      </c>
      <c r="D181" s="11">
        <f>アイスクリームの売り上げデータ!G181</f>
        <v>183</v>
      </c>
    </row>
    <row r="182" spans="2:4">
      <c r="B182" s="17">
        <f>アイスクリームの売り上げデータ!A182</f>
        <v>43645</v>
      </c>
      <c r="C182" s="11">
        <f>アイスクリームの売り上げデータ!C182</f>
        <v>20.2</v>
      </c>
      <c r="D182" s="11">
        <f>アイスクリームの売り上げデータ!G182</f>
        <v>203</v>
      </c>
    </row>
    <row r="183" spans="2:4">
      <c r="B183" s="17">
        <f>アイスクリームの売り上げデータ!A183</f>
        <v>43646</v>
      </c>
      <c r="C183" s="11">
        <f>アイスクリームの売り上げデータ!C183</f>
        <v>21.6</v>
      </c>
      <c r="D183" s="11">
        <f>アイスクリームの売り上げデータ!G183</f>
        <v>240</v>
      </c>
    </row>
    <row r="184" spans="2:4">
      <c r="B184" s="17">
        <f>アイスクリームの売り上げデータ!A184</f>
        <v>43647</v>
      </c>
      <c r="C184" s="11">
        <f>アイスクリームの売り上げデータ!C184</f>
        <v>22.7</v>
      </c>
      <c r="D184" s="11">
        <f>アイスクリームの売り上げデータ!G184</f>
        <v>135</v>
      </c>
    </row>
    <row r="185" spans="2:4">
      <c r="B185" s="17">
        <f>アイスクリームの売り上げデータ!A185</f>
        <v>43648</v>
      </c>
      <c r="C185" s="11">
        <f>アイスクリームの売り上げデータ!C185</f>
        <v>23.8</v>
      </c>
      <c r="D185" s="11">
        <f>アイスクリームの売り上げデータ!G185</f>
        <v>185</v>
      </c>
    </row>
    <row r="186" spans="2:4">
      <c r="B186" s="17">
        <f>アイスクリームの売り上げデータ!A186</f>
        <v>43649</v>
      </c>
      <c r="C186" s="11">
        <f>アイスクリームの売り上げデータ!C186</f>
        <v>24.9</v>
      </c>
      <c r="D186" s="11">
        <f>アイスクリームの売り上げデータ!G186</f>
        <v>204</v>
      </c>
    </row>
    <row r="187" spans="2:4">
      <c r="B187" s="17">
        <f>アイスクリームの売り上げデータ!A187</f>
        <v>43650</v>
      </c>
      <c r="C187" s="11">
        <f>アイスクリームの売り上げデータ!C187</f>
        <v>22.7</v>
      </c>
      <c r="D187" s="11">
        <f>アイスクリームの売り上げデータ!G187</f>
        <v>167</v>
      </c>
    </row>
    <row r="188" spans="2:4">
      <c r="B188" s="17">
        <f>アイスクリームの売り上げデータ!A188</f>
        <v>43651</v>
      </c>
      <c r="C188" s="11">
        <f>アイスクリームの売り上げデータ!C188</f>
        <v>21.9</v>
      </c>
      <c r="D188" s="11">
        <f>アイスクリームの売り上げデータ!G188</f>
        <v>160</v>
      </c>
    </row>
    <row r="189" spans="2:4">
      <c r="B189" s="17">
        <f>アイスクリームの売り上げデータ!A189</f>
        <v>43652</v>
      </c>
      <c r="C189" s="11">
        <f>アイスクリームの売り上げデータ!C189</f>
        <v>21</v>
      </c>
      <c r="D189" s="11">
        <f>アイスクリームの売り上げデータ!G189</f>
        <v>194</v>
      </c>
    </row>
    <row r="190" spans="2:4">
      <c r="B190" s="17">
        <f>アイスクリームの売り上げデータ!A190</f>
        <v>43653</v>
      </c>
      <c r="C190" s="11">
        <f>アイスクリームの売り上げデータ!C190</f>
        <v>19.2</v>
      </c>
      <c r="D190" s="11">
        <f>アイスクリームの売り上げデータ!G190</f>
        <v>214</v>
      </c>
    </row>
    <row r="191" spans="2:4">
      <c r="B191" s="17">
        <f>アイスクリームの売り上げデータ!A191</f>
        <v>43654</v>
      </c>
      <c r="C191" s="11">
        <f>アイスクリームの売り上げデータ!C191</f>
        <v>20.3</v>
      </c>
      <c r="D191" s="11">
        <f>アイスクリームの売り上げデータ!G191</f>
        <v>146</v>
      </c>
    </row>
    <row r="192" spans="2:4">
      <c r="B192" s="17">
        <f>アイスクリームの売り上げデータ!A192</f>
        <v>43655</v>
      </c>
      <c r="C192" s="11">
        <f>アイスクリームの売り上げデータ!C192</f>
        <v>19.7</v>
      </c>
      <c r="D192" s="11">
        <f>アイスクリームの売り上げデータ!G192</f>
        <v>165</v>
      </c>
    </row>
    <row r="193" spans="2:4">
      <c r="B193" s="17">
        <f>アイスクリームの売り上げデータ!A193</f>
        <v>43656</v>
      </c>
      <c r="C193" s="11">
        <f>アイスクリームの売り上げデータ!C193</f>
        <v>21</v>
      </c>
      <c r="D193" s="11">
        <f>アイスクリームの売り上げデータ!G193</f>
        <v>197</v>
      </c>
    </row>
    <row r="194" spans="2:4">
      <c r="B194" s="17">
        <f>アイスクリームの売り上げデータ!A194</f>
        <v>43657</v>
      </c>
      <c r="C194" s="11">
        <f>アイスクリームの売り上げデータ!C194</f>
        <v>19.899999999999999</v>
      </c>
      <c r="D194" s="11">
        <f>アイスクリームの売り上げデータ!G194</f>
        <v>163</v>
      </c>
    </row>
    <row r="195" spans="2:4">
      <c r="B195" s="17">
        <f>アイスクリームの売り上げデータ!A195</f>
        <v>43658</v>
      </c>
      <c r="C195" s="11">
        <f>アイスクリームの売り上げデータ!C195</f>
        <v>20.2</v>
      </c>
      <c r="D195" s="11">
        <f>アイスクリームの売り上げデータ!G195</f>
        <v>151</v>
      </c>
    </row>
    <row r="196" spans="2:4">
      <c r="B196" s="17">
        <f>アイスクリームの売り上げデータ!A196</f>
        <v>43659</v>
      </c>
      <c r="C196" s="11">
        <f>アイスクリームの売り上げデータ!C196</f>
        <v>23.4</v>
      </c>
      <c r="D196" s="11">
        <f>アイスクリームの売り上げデータ!G196</f>
        <v>202</v>
      </c>
    </row>
    <row r="197" spans="2:4">
      <c r="B197" s="17">
        <f>アイスクリームの売り上げデータ!A197</f>
        <v>43660</v>
      </c>
      <c r="C197" s="11">
        <f>アイスクリームの売り上げデータ!C197</f>
        <v>21.3</v>
      </c>
      <c r="D197" s="11">
        <f>アイスクリームの売り上げデータ!G197</f>
        <v>225</v>
      </c>
    </row>
    <row r="198" spans="2:4">
      <c r="B198" s="17">
        <f>アイスクリームの売り上げデータ!A198</f>
        <v>43661</v>
      </c>
      <c r="C198" s="11">
        <f>アイスクリームの売り上げデータ!C198</f>
        <v>21.3</v>
      </c>
      <c r="D198" s="11">
        <f>アイスクリームの売り上げデータ!G198</f>
        <v>133</v>
      </c>
    </row>
    <row r="199" spans="2:4">
      <c r="B199" s="17">
        <f>アイスクリームの売り上げデータ!A199</f>
        <v>43662</v>
      </c>
      <c r="C199" s="11">
        <f>アイスクリームの売り上げデータ!C199</f>
        <v>20.5</v>
      </c>
      <c r="D199" s="11">
        <f>アイスクリームの売り上げデータ!G199</f>
        <v>138</v>
      </c>
    </row>
    <row r="200" spans="2:4">
      <c r="B200" s="17">
        <f>アイスクリームの売り上げデータ!A200</f>
        <v>43663</v>
      </c>
      <c r="C200" s="11">
        <f>アイスクリームの売り上げデータ!C200</f>
        <v>23.9</v>
      </c>
      <c r="D200" s="11">
        <f>アイスクリームの売り上げデータ!G200</f>
        <v>182</v>
      </c>
    </row>
    <row r="201" spans="2:4">
      <c r="B201" s="17">
        <f>アイスクリームの売り上げデータ!A201</f>
        <v>43664</v>
      </c>
      <c r="C201" s="11">
        <f>アイスクリームの売り上げデータ!C201</f>
        <v>25.6</v>
      </c>
      <c r="D201" s="11">
        <f>アイスクリームの売り上げデータ!G201</f>
        <v>165</v>
      </c>
    </row>
    <row r="202" spans="2:4">
      <c r="B202" s="17">
        <f>アイスクリームの売り上げデータ!A202</f>
        <v>43665</v>
      </c>
      <c r="C202" s="11">
        <f>アイスクリームの売り上げデータ!C202</f>
        <v>26.7</v>
      </c>
      <c r="D202" s="11">
        <f>アイスクリームの売り上げデータ!G202</f>
        <v>167</v>
      </c>
    </row>
    <row r="203" spans="2:4">
      <c r="B203" s="17">
        <f>アイスクリームの売り上げデータ!A203</f>
        <v>43666</v>
      </c>
      <c r="C203" s="11">
        <f>アイスクリームの売り上げデータ!C203</f>
        <v>26.5</v>
      </c>
      <c r="D203" s="11">
        <f>アイスクリームの売り上げデータ!G203</f>
        <v>230</v>
      </c>
    </row>
    <row r="204" spans="2:4">
      <c r="B204" s="17">
        <f>アイスクリームの売り上げデータ!A204</f>
        <v>43667</v>
      </c>
      <c r="C204" s="11">
        <f>アイスクリームの売り上げデータ!C204</f>
        <v>25</v>
      </c>
      <c r="D204" s="11">
        <f>アイスクリームの売り上げデータ!G204</f>
        <v>250</v>
      </c>
    </row>
    <row r="205" spans="2:4">
      <c r="B205" s="17">
        <f>アイスクリームの売り上げデータ!A205</f>
        <v>43668</v>
      </c>
      <c r="C205" s="11">
        <f>アイスクリームの売り上げデータ!C205</f>
        <v>22.7</v>
      </c>
      <c r="D205" s="11">
        <f>アイスクリームの売り上げデータ!G205</f>
        <v>148</v>
      </c>
    </row>
    <row r="206" spans="2:4">
      <c r="B206" s="17">
        <f>アイスクリームの売り上げデータ!A206</f>
        <v>43669</v>
      </c>
      <c r="C206" s="11">
        <f>アイスクリームの売り上げデータ!C206</f>
        <v>24.5</v>
      </c>
      <c r="D206" s="11">
        <f>アイスクリームの売り上げデータ!G206</f>
        <v>169</v>
      </c>
    </row>
    <row r="207" spans="2:4">
      <c r="B207" s="17">
        <f>アイスクリームの売り上げデータ!A207</f>
        <v>43670</v>
      </c>
      <c r="C207" s="11">
        <f>アイスクリームの売り上げデータ!C207</f>
        <v>26.8</v>
      </c>
      <c r="D207" s="11">
        <f>アイスクリームの売り上げデータ!G207</f>
        <v>198</v>
      </c>
    </row>
    <row r="208" spans="2:4">
      <c r="B208" s="17">
        <f>アイスクリームの売り上げデータ!A208</f>
        <v>43671</v>
      </c>
      <c r="C208" s="11">
        <f>アイスクリームの売り上げデータ!C208</f>
        <v>28</v>
      </c>
      <c r="D208" s="11">
        <f>アイスクリームの売り上げデータ!G208</f>
        <v>192</v>
      </c>
    </row>
    <row r="209" spans="2:4">
      <c r="B209" s="17">
        <f>アイスクリームの売り上げデータ!A209</f>
        <v>43672</v>
      </c>
      <c r="C209" s="11">
        <f>アイスクリームの売り上げデータ!C209</f>
        <v>28.5</v>
      </c>
      <c r="D209" s="11">
        <f>アイスクリームの売り上げデータ!G209</f>
        <v>184</v>
      </c>
    </row>
    <row r="210" spans="2:4">
      <c r="B210" s="17">
        <f>アイスクリームの売り上げデータ!A210</f>
        <v>43673</v>
      </c>
      <c r="C210" s="11">
        <f>アイスクリームの売り上げデータ!C210</f>
        <v>28</v>
      </c>
      <c r="D210" s="11">
        <f>アイスクリームの売り上げデータ!G210</f>
        <v>230</v>
      </c>
    </row>
    <row r="211" spans="2:4">
      <c r="B211" s="17">
        <f>アイスクリームの売り上げデータ!A211</f>
        <v>43674</v>
      </c>
      <c r="C211" s="11">
        <f>アイスクリームの売り上げデータ!C211</f>
        <v>27.7</v>
      </c>
      <c r="D211" s="11">
        <f>アイスクリームの売り上げデータ!G211</f>
        <v>267</v>
      </c>
    </row>
    <row r="212" spans="2:4">
      <c r="B212" s="17">
        <f>アイスクリームの売り上げデータ!A212</f>
        <v>43675</v>
      </c>
      <c r="C212" s="11">
        <f>アイスクリームの売り上げデータ!C212</f>
        <v>29</v>
      </c>
      <c r="D212" s="11">
        <f>アイスクリームの売り上げデータ!G212</f>
        <v>173</v>
      </c>
    </row>
    <row r="213" spans="2:4">
      <c r="B213" s="17">
        <f>アイスクリームの売り上げデータ!A213</f>
        <v>43676</v>
      </c>
      <c r="C213" s="11">
        <f>アイスクリームの売り上げデータ!C213</f>
        <v>29.5</v>
      </c>
      <c r="D213" s="11">
        <f>アイスクリームの売り上げデータ!G213</f>
        <v>190</v>
      </c>
    </row>
    <row r="214" spans="2:4">
      <c r="B214" s="17">
        <f>アイスクリームの売り上げデータ!A214</f>
        <v>43677</v>
      </c>
      <c r="C214" s="11">
        <f>アイスクリームの売り上げデータ!C214</f>
        <v>30</v>
      </c>
      <c r="D214" s="11">
        <f>アイスクリームの売り上げデータ!G214</f>
        <v>215</v>
      </c>
    </row>
    <row r="215" spans="2:4">
      <c r="B215" s="17">
        <f>アイスクリームの売り上げデータ!A215</f>
        <v>43678</v>
      </c>
      <c r="C215" s="11">
        <f>アイスクリームの売り上げデータ!C215</f>
        <v>30.5</v>
      </c>
      <c r="D215" s="11">
        <f>アイスクリームの売り上げデータ!G215</f>
        <v>203</v>
      </c>
    </row>
    <row r="216" spans="2:4">
      <c r="B216" s="17">
        <f>アイスクリームの売り上げデータ!A216</f>
        <v>43679</v>
      </c>
      <c r="C216" s="11">
        <f>アイスクリームの売り上げデータ!C216</f>
        <v>30.2</v>
      </c>
      <c r="D216" s="11">
        <f>アイスクリームの売り上げデータ!G216</f>
        <v>189</v>
      </c>
    </row>
    <row r="217" spans="2:4">
      <c r="B217" s="17">
        <f>アイスクリームの売り上げデータ!A217</f>
        <v>43680</v>
      </c>
      <c r="C217" s="11">
        <f>アイスクリームの売り上げデータ!C217</f>
        <v>29.4</v>
      </c>
      <c r="D217" s="11">
        <f>アイスクリームの売り上げデータ!G217</f>
        <v>252</v>
      </c>
    </row>
    <row r="218" spans="2:4">
      <c r="B218" s="17">
        <f>アイスクリームの売り上げデータ!A218</f>
        <v>43681</v>
      </c>
      <c r="C218" s="11">
        <f>アイスクリームの売り上げデータ!C218</f>
        <v>29.4</v>
      </c>
      <c r="D218" s="11">
        <f>アイスクリームの売り上げデータ!G218</f>
        <v>269</v>
      </c>
    </row>
    <row r="219" spans="2:4">
      <c r="B219" s="17">
        <f>アイスクリームの売り上げデータ!A219</f>
        <v>43682</v>
      </c>
      <c r="C219" s="11">
        <f>アイスクリームの売り上げデータ!C219</f>
        <v>29.8</v>
      </c>
      <c r="D219" s="11">
        <f>アイスクリームの売り上げデータ!G219</f>
        <v>165</v>
      </c>
    </row>
    <row r="220" spans="2:4">
      <c r="B220" s="17">
        <f>アイスクリームの売り上げデータ!A220</f>
        <v>43683</v>
      </c>
      <c r="C220" s="11">
        <f>アイスクリームの売り上げデータ!C220</f>
        <v>30.3</v>
      </c>
      <c r="D220" s="11">
        <f>アイスクリームの売り上げデータ!G220</f>
        <v>190</v>
      </c>
    </row>
    <row r="221" spans="2:4">
      <c r="B221" s="17">
        <f>アイスクリームの売り上げデータ!A221</f>
        <v>43684</v>
      </c>
      <c r="C221" s="11">
        <f>アイスクリームの売り上げデータ!C221</f>
        <v>30.4</v>
      </c>
      <c r="D221" s="11">
        <f>アイスクリームの売り上げデータ!G221</f>
        <v>223</v>
      </c>
    </row>
    <row r="222" spans="2:4">
      <c r="B222" s="17">
        <f>アイスクリームの売り上げデータ!A222</f>
        <v>43685</v>
      </c>
      <c r="C222" s="11">
        <f>アイスクリームの売り上げデータ!C222</f>
        <v>29.9</v>
      </c>
      <c r="D222" s="11">
        <f>アイスクリームの売り上げデータ!G222</f>
        <v>186</v>
      </c>
    </row>
    <row r="223" spans="2:4">
      <c r="B223" s="17">
        <f>アイスクリームの売り上げデータ!A223</f>
        <v>43686</v>
      </c>
      <c r="C223" s="11">
        <f>アイスクリームの売り上げデータ!C223</f>
        <v>30.1</v>
      </c>
      <c r="D223" s="11">
        <f>アイスクリームの売り上げデータ!G223</f>
        <v>187</v>
      </c>
    </row>
    <row r="224" spans="2:4">
      <c r="B224" s="17">
        <f>アイスクリームの売り上げデータ!A224</f>
        <v>43687</v>
      </c>
      <c r="C224" s="11">
        <f>アイスクリームの売り上げデータ!C224</f>
        <v>29.6</v>
      </c>
      <c r="D224" s="11">
        <f>アイスクリームの売り上げデータ!G224</f>
        <v>239</v>
      </c>
    </row>
    <row r="225" spans="2:4">
      <c r="B225" s="17">
        <f>アイスクリームの売り上げデータ!A225</f>
        <v>43688</v>
      </c>
      <c r="C225" s="11">
        <f>アイスクリームの売り上げデータ!C225</f>
        <v>29.4</v>
      </c>
      <c r="D225" s="11">
        <f>アイスクリームの売り上げデータ!G225</f>
        <v>276</v>
      </c>
    </row>
    <row r="226" spans="2:4">
      <c r="B226" s="17">
        <f>アイスクリームの売り上げデータ!A226</f>
        <v>43689</v>
      </c>
      <c r="C226" s="11">
        <f>アイスクリームの売り上げデータ!C226</f>
        <v>28.8</v>
      </c>
      <c r="D226" s="11">
        <f>アイスクリームの売り上げデータ!G226</f>
        <v>161</v>
      </c>
    </row>
    <row r="227" spans="2:4">
      <c r="B227" s="17">
        <f>アイスクリームの売り上げデータ!A227</f>
        <v>43690</v>
      </c>
      <c r="C227" s="11">
        <f>アイスクリームの売り上げデータ!C227</f>
        <v>29.3</v>
      </c>
      <c r="D227" s="11">
        <f>アイスクリームの売り上げデータ!G227</f>
        <v>184</v>
      </c>
    </row>
    <row r="228" spans="2:4">
      <c r="B228" s="17">
        <f>アイスクリームの売り上げデータ!A228</f>
        <v>43691</v>
      </c>
      <c r="C228" s="11">
        <f>アイスクリームの売り上げデータ!C228</f>
        <v>29.2</v>
      </c>
      <c r="D228" s="11">
        <f>アイスクリームの売り上げデータ!G228</f>
        <v>215</v>
      </c>
    </row>
    <row r="229" spans="2:4">
      <c r="B229" s="17">
        <f>アイスクリームの売り上げデータ!A229</f>
        <v>43692</v>
      </c>
      <c r="C229" s="11">
        <f>アイスクリームの売り上げデータ!C229</f>
        <v>29.2</v>
      </c>
      <c r="D229" s="11">
        <f>アイスクリームの売り上げデータ!G229</f>
        <v>166</v>
      </c>
    </row>
    <row r="230" spans="2:4">
      <c r="B230" s="17">
        <f>アイスクリームの売り上げデータ!A230</f>
        <v>43693</v>
      </c>
      <c r="C230" s="11">
        <f>アイスクリームの売り上げデータ!C230</f>
        <v>29</v>
      </c>
      <c r="D230" s="11">
        <f>アイスクリームの売り上げデータ!G230</f>
        <v>198</v>
      </c>
    </row>
    <row r="231" spans="2:4">
      <c r="B231" s="17">
        <f>アイスクリームの売り上げデータ!A231</f>
        <v>43694</v>
      </c>
      <c r="C231" s="11">
        <f>アイスクリームの売り上げデータ!C231</f>
        <v>30.3</v>
      </c>
      <c r="D231" s="11">
        <f>アイスクリームの売り上げデータ!G231</f>
        <v>242</v>
      </c>
    </row>
    <row r="232" spans="2:4">
      <c r="B232" s="17">
        <f>アイスクリームの売り上げデータ!A232</f>
        <v>43695</v>
      </c>
      <c r="C232" s="11">
        <f>アイスクリームの売り上げデータ!C232</f>
        <v>30.1</v>
      </c>
      <c r="D232" s="11">
        <f>アイスクリームの売り上げデータ!G232</f>
        <v>291</v>
      </c>
    </row>
    <row r="233" spans="2:4">
      <c r="B233" s="17">
        <f>アイスクリームの売り上げデータ!A233</f>
        <v>43696</v>
      </c>
      <c r="C233" s="11">
        <f>アイスクリームの売り上げデータ!C233</f>
        <v>28.1</v>
      </c>
      <c r="D233" s="11">
        <f>アイスクリームの売り上げデータ!G233</f>
        <v>168</v>
      </c>
    </row>
    <row r="234" spans="2:4">
      <c r="B234" s="17">
        <f>アイスクリームの売り上げデータ!A234</f>
        <v>43697</v>
      </c>
      <c r="C234" s="11">
        <f>アイスクリームの売り上げデータ!C234</f>
        <v>26.5</v>
      </c>
      <c r="D234" s="11">
        <f>アイスクリームの売り上げデータ!G234</f>
        <v>182</v>
      </c>
    </row>
    <row r="235" spans="2:4">
      <c r="B235" s="17">
        <f>アイスクリームの売り上げデータ!A235</f>
        <v>43698</v>
      </c>
      <c r="C235" s="11">
        <f>アイスクリームの売り上げデータ!C235</f>
        <v>27</v>
      </c>
      <c r="D235" s="11">
        <f>アイスクリームの売り上げデータ!G235</f>
        <v>210</v>
      </c>
    </row>
    <row r="236" spans="2:4">
      <c r="B236" s="17">
        <f>アイスクリームの売り上げデータ!A236</f>
        <v>43699</v>
      </c>
      <c r="C236" s="11">
        <f>アイスクリームの売り上げデータ!C236</f>
        <v>26</v>
      </c>
      <c r="D236" s="11">
        <f>アイスクリームの売り上げデータ!G236</f>
        <v>169</v>
      </c>
    </row>
    <row r="237" spans="2:4">
      <c r="B237" s="17">
        <f>アイスクリームの売り上げデータ!A237</f>
        <v>43700</v>
      </c>
      <c r="C237" s="11">
        <f>アイスクリームの売り上げデータ!C237</f>
        <v>26.3</v>
      </c>
      <c r="D237" s="11">
        <f>アイスクリームの売り上げデータ!G237</f>
        <v>176</v>
      </c>
    </row>
    <row r="238" spans="2:4">
      <c r="B238" s="17">
        <f>アイスクリームの売り上げデータ!A238</f>
        <v>43701</v>
      </c>
      <c r="C238" s="11">
        <f>アイスクリームの売り上げデータ!C238</f>
        <v>27.3</v>
      </c>
      <c r="D238" s="11">
        <f>アイスクリームの売り上げデータ!G238</f>
        <v>236</v>
      </c>
    </row>
    <row r="239" spans="2:4">
      <c r="B239" s="17">
        <f>アイスクリームの売り上げデータ!A239</f>
        <v>43702</v>
      </c>
      <c r="C239" s="11">
        <f>アイスクリームの売り上げデータ!C239</f>
        <v>25.8</v>
      </c>
      <c r="D239" s="11">
        <f>アイスクリームの売り上げデータ!G239</f>
        <v>259</v>
      </c>
    </row>
    <row r="240" spans="2:4">
      <c r="B240" s="17">
        <f>アイスクリームの売り上げデータ!A240</f>
        <v>43703</v>
      </c>
      <c r="C240" s="11">
        <f>アイスクリームの売り上げデータ!C240</f>
        <v>25.3</v>
      </c>
      <c r="D240" s="11">
        <f>アイスクリームの売り上げデータ!G240</f>
        <v>158</v>
      </c>
    </row>
    <row r="241" spans="2:4">
      <c r="B241" s="17">
        <f>アイスクリームの売り上げデータ!A241</f>
        <v>43704</v>
      </c>
      <c r="C241" s="11">
        <f>アイスクリームの売り上げデータ!C241</f>
        <v>25.3</v>
      </c>
      <c r="D241" s="11">
        <f>アイスクリームの売り上げデータ!G241</f>
        <v>182</v>
      </c>
    </row>
    <row r="242" spans="2:4">
      <c r="B242" s="17">
        <f>アイスクリームの売り上げデータ!A242</f>
        <v>43705</v>
      </c>
      <c r="C242" s="11">
        <f>アイスクリームの売り上げデータ!C242</f>
        <v>25.6</v>
      </c>
      <c r="D242" s="11">
        <f>アイスクリームの売り上げデータ!G242</f>
        <v>194</v>
      </c>
    </row>
    <row r="243" spans="2:4">
      <c r="B243" s="17">
        <f>アイスクリームの売り上げデータ!A243</f>
        <v>43706</v>
      </c>
      <c r="C243" s="11">
        <f>アイスクリームの売り上げデータ!C243</f>
        <v>28.9</v>
      </c>
      <c r="D243" s="11">
        <f>アイスクリームの売り上げデータ!G243</f>
        <v>182</v>
      </c>
    </row>
    <row r="244" spans="2:4">
      <c r="B244" s="17">
        <f>アイスクリームの売り上げデータ!A244</f>
        <v>43707</v>
      </c>
      <c r="C244" s="11">
        <f>アイスクリームの売り上げデータ!C244</f>
        <v>26</v>
      </c>
      <c r="D244" s="11">
        <f>アイスクリームの売り上げデータ!G244</f>
        <v>174</v>
      </c>
    </row>
    <row r="245" spans="2:4">
      <c r="B245" s="17">
        <f>アイスクリームの売り上げデータ!A245</f>
        <v>43708</v>
      </c>
      <c r="C245" s="11">
        <f>アイスクリームの売り上げデータ!C245</f>
        <v>27.3</v>
      </c>
      <c r="D245" s="11">
        <f>アイスクリームの売り上げデータ!G245</f>
        <v>223</v>
      </c>
    </row>
    <row r="246" spans="2:4">
      <c r="B246" s="17">
        <f>アイスクリームの売り上げデータ!A246</f>
        <v>43709</v>
      </c>
      <c r="C246" s="11">
        <f>アイスクリームの売り上げデータ!C246</f>
        <v>27.7</v>
      </c>
      <c r="D246" s="11">
        <f>アイスクリームの売り上げデータ!G246</f>
        <v>260</v>
      </c>
    </row>
    <row r="247" spans="2:4">
      <c r="B247" s="17">
        <f>アイスクリームの売り上げデータ!A247</f>
        <v>43710</v>
      </c>
      <c r="C247" s="11">
        <f>アイスクリームの売り上げデータ!C247</f>
        <v>27.6</v>
      </c>
      <c r="D247" s="11">
        <f>アイスクリームの売り上げデータ!G247</f>
        <v>163</v>
      </c>
    </row>
    <row r="248" spans="2:4">
      <c r="B248" s="17">
        <f>アイスクリームの売り上げデータ!A248</f>
        <v>43711</v>
      </c>
      <c r="C248" s="11">
        <f>アイスクリームの売り上げデータ!C248</f>
        <v>25.8</v>
      </c>
      <c r="D248" s="11">
        <f>アイスクリームの売り上げデータ!G248</f>
        <v>174</v>
      </c>
    </row>
    <row r="249" spans="2:4">
      <c r="B249" s="17">
        <f>アイスクリームの売り上げデータ!A249</f>
        <v>43712</v>
      </c>
      <c r="C249" s="11">
        <f>アイスクリームの売り上げデータ!C249</f>
        <v>23.7</v>
      </c>
      <c r="D249" s="11">
        <f>アイスクリームの売り上げデータ!G249</f>
        <v>198</v>
      </c>
    </row>
    <row r="250" spans="2:4">
      <c r="B250" s="17">
        <f>アイスクリームの売り上げデータ!A250</f>
        <v>43713</v>
      </c>
      <c r="C250" s="11">
        <f>アイスクリームの売り上げデータ!C250</f>
        <v>25.7</v>
      </c>
      <c r="D250" s="11">
        <f>アイスクリームの売り上げデータ!G250</f>
        <v>183</v>
      </c>
    </row>
    <row r="251" spans="2:4">
      <c r="B251" s="17">
        <f>アイスクリームの売り上げデータ!A251</f>
        <v>43714</v>
      </c>
      <c r="C251" s="11">
        <f>アイスクリームの売り上げデータ!C251</f>
        <v>27.9</v>
      </c>
      <c r="D251" s="11">
        <f>アイスクリームの売り上げデータ!G251</f>
        <v>196</v>
      </c>
    </row>
    <row r="252" spans="2:4">
      <c r="B252" s="17">
        <f>アイスクリームの売り上げデータ!A252</f>
        <v>43715</v>
      </c>
      <c r="C252" s="11">
        <f>アイスクリームの売り上げデータ!C252</f>
        <v>28.4</v>
      </c>
      <c r="D252" s="11">
        <f>アイスクリームの売り上げデータ!G252</f>
        <v>239</v>
      </c>
    </row>
    <row r="253" spans="2:4">
      <c r="B253" s="17">
        <f>アイスクリームの売り上げデータ!A253</f>
        <v>43716</v>
      </c>
      <c r="C253" s="11">
        <f>アイスクリームの売り上げデータ!C253</f>
        <v>29.1</v>
      </c>
      <c r="D253" s="11">
        <f>アイスクリームの売り上げデータ!G253</f>
        <v>242</v>
      </c>
    </row>
    <row r="254" spans="2:4">
      <c r="B254" s="17">
        <f>アイスクリームの売り上げデータ!A254</f>
        <v>43717</v>
      </c>
      <c r="C254" s="11">
        <f>アイスクリームの売り上げデータ!C254</f>
        <v>29</v>
      </c>
      <c r="D254" s="11">
        <f>アイスクリームの売り上げデータ!G254</f>
        <v>42</v>
      </c>
    </row>
    <row r="255" spans="2:4">
      <c r="B255" s="17">
        <f>アイスクリームの売り上げデータ!A255</f>
        <v>43718</v>
      </c>
      <c r="C255" s="11">
        <f>アイスクリームの売り上げデータ!C255</f>
        <v>29.9</v>
      </c>
      <c r="D255" s="11">
        <f>アイスクリームの売り上げデータ!G255</f>
        <v>185</v>
      </c>
    </row>
    <row r="256" spans="2:4">
      <c r="B256" s="17">
        <f>アイスクリームの売り上げデータ!A256</f>
        <v>43719</v>
      </c>
      <c r="C256" s="11">
        <f>アイスクリームの売り上げデータ!C256</f>
        <v>27.4</v>
      </c>
      <c r="D256" s="11">
        <f>アイスクリームの売り上げデータ!G256</f>
        <v>210</v>
      </c>
    </row>
    <row r="257" spans="2:4">
      <c r="B257" s="17">
        <f>アイスクリームの売り上げデータ!A257</f>
        <v>43720</v>
      </c>
      <c r="C257" s="11">
        <f>アイスクリームの売り上げデータ!C257</f>
        <v>25.1</v>
      </c>
      <c r="D257" s="11">
        <f>アイスクリームの売り上げデータ!G257</f>
        <v>173</v>
      </c>
    </row>
    <row r="258" spans="2:4">
      <c r="B258" s="17">
        <f>アイスクリームの売り上げデータ!A258</f>
        <v>43721</v>
      </c>
      <c r="C258" s="11">
        <f>アイスクリームの売り上げデータ!C258</f>
        <v>22.4</v>
      </c>
      <c r="D258" s="11">
        <f>アイスクリームの売り上げデータ!G258</f>
        <v>160</v>
      </c>
    </row>
    <row r="259" spans="2:4">
      <c r="B259" s="17">
        <f>アイスクリームの売り上げデータ!A259</f>
        <v>43722</v>
      </c>
      <c r="C259" s="11">
        <f>アイスクリームの売り上げデータ!C259</f>
        <v>22.1</v>
      </c>
      <c r="D259" s="11">
        <f>アイスクリームの売り上げデータ!G259</f>
        <v>224</v>
      </c>
    </row>
    <row r="260" spans="2:4">
      <c r="B260" s="17">
        <f>アイスクリームの売り上げデータ!A260</f>
        <v>43723</v>
      </c>
      <c r="C260" s="11">
        <f>アイスクリームの売り上げデータ!C260</f>
        <v>25.2</v>
      </c>
      <c r="D260" s="11">
        <f>アイスクリームの売り上げデータ!G260</f>
        <v>276</v>
      </c>
    </row>
    <row r="261" spans="2:4">
      <c r="B261" s="17">
        <f>アイスクリームの売り上げデータ!A261</f>
        <v>43724</v>
      </c>
      <c r="C261" s="11">
        <f>アイスクリームの売り上げデータ!C261</f>
        <v>22.9</v>
      </c>
      <c r="D261" s="11">
        <f>アイスクリームの売り上げデータ!G261</f>
        <v>122</v>
      </c>
    </row>
    <row r="262" spans="2:4">
      <c r="B262" s="17">
        <f>アイスクリームの売り上げデータ!A262</f>
        <v>43725</v>
      </c>
      <c r="C262" s="11">
        <f>アイスクリームの売り上げデータ!C262</f>
        <v>25.8</v>
      </c>
      <c r="D262" s="11">
        <f>アイスクリームの売り上げデータ!G262</f>
        <v>169</v>
      </c>
    </row>
    <row r="263" spans="2:4">
      <c r="B263" s="17">
        <f>アイスクリームの売り上げデータ!A263</f>
        <v>43726</v>
      </c>
      <c r="C263" s="11">
        <f>アイスクリームの売り上げデータ!C263</f>
        <v>21.2</v>
      </c>
      <c r="D263" s="11">
        <f>アイスクリームの売り上げデータ!G263</f>
        <v>164</v>
      </c>
    </row>
    <row r="264" spans="2:4">
      <c r="B264" s="17">
        <f>アイスクリームの売り上げデータ!A264</f>
        <v>43727</v>
      </c>
      <c r="C264" s="11">
        <f>アイスクリームの売り上げデータ!C264</f>
        <v>22.1</v>
      </c>
      <c r="D264" s="11">
        <f>アイスクリームの売り上げデータ!G264</f>
        <v>172</v>
      </c>
    </row>
    <row r="265" spans="2:4">
      <c r="B265" s="17">
        <f>アイスクリームの売り上げデータ!A265</f>
        <v>43728</v>
      </c>
      <c r="C265" s="11">
        <f>アイスクリームの売り上げデータ!C265</f>
        <v>22.8</v>
      </c>
      <c r="D265" s="11">
        <f>アイスクリームの売り上げデータ!G265</f>
        <v>158</v>
      </c>
    </row>
    <row r="266" spans="2:4">
      <c r="B266" s="17">
        <f>アイスクリームの売り上げデータ!A266</f>
        <v>43729</v>
      </c>
      <c r="C266" s="11">
        <f>アイスクリームの売り上げデータ!C266</f>
        <v>21.8</v>
      </c>
      <c r="D266" s="11">
        <f>アイスクリームの売り上げデータ!G266</f>
        <v>210</v>
      </c>
    </row>
    <row r="267" spans="2:4">
      <c r="B267" s="17">
        <f>アイスクリームの売り上げデータ!A267</f>
        <v>43730</v>
      </c>
      <c r="C267" s="11">
        <f>アイスクリームの売り上げデータ!C267</f>
        <v>22.4</v>
      </c>
      <c r="D267" s="11">
        <f>アイスクリームの売り上げデータ!G267</f>
        <v>235</v>
      </c>
    </row>
    <row r="268" spans="2:4">
      <c r="B268" s="17">
        <f>アイスクリームの売り上げデータ!A268</f>
        <v>43731</v>
      </c>
      <c r="C268" s="11">
        <f>アイスクリームの売り上げデータ!C268</f>
        <v>26</v>
      </c>
      <c r="D268" s="11">
        <f>アイスクリームの売り上げデータ!G268</f>
        <v>152</v>
      </c>
    </row>
    <row r="269" spans="2:4">
      <c r="B269" s="17">
        <f>アイスクリームの売り上げデータ!A269</f>
        <v>43732</v>
      </c>
      <c r="C269" s="11">
        <f>アイスクリームの売り上げデータ!C269</f>
        <v>25.4</v>
      </c>
      <c r="D269" s="11">
        <f>アイスクリームの売り上げデータ!G269</f>
        <v>180</v>
      </c>
    </row>
    <row r="270" spans="2:4">
      <c r="B270" s="17">
        <f>アイスクリームの売り上げデータ!A270</f>
        <v>43733</v>
      </c>
      <c r="C270" s="11">
        <f>アイスクリームの売り上げデータ!C270</f>
        <v>24.3</v>
      </c>
      <c r="D270" s="11">
        <f>アイスクリームの売り上げデータ!G270</f>
        <v>208</v>
      </c>
    </row>
    <row r="271" spans="2:4">
      <c r="B271" s="17">
        <f>アイスクリームの売り上げデータ!A271</f>
        <v>43734</v>
      </c>
      <c r="C271" s="11">
        <f>アイスクリームの売り上げデータ!C271</f>
        <v>22.8</v>
      </c>
      <c r="D271" s="11">
        <f>アイスクリームの売り上げデータ!G271</f>
        <v>181</v>
      </c>
    </row>
    <row r="272" spans="2:4">
      <c r="B272" s="17">
        <f>アイスクリームの売り上げデータ!A272</f>
        <v>43735</v>
      </c>
      <c r="C272" s="11">
        <f>アイスクリームの売り上げデータ!C272</f>
        <v>23</v>
      </c>
      <c r="D272" s="11">
        <f>アイスクリームの売り上げデータ!G272</f>
        <v>176</v>
      </c>
    </row>
    <row r="273" spans="2:4">
      <c r="B273" s="17">
        <f>アイスクリームの売り上げデータ!A273</f>
        <v>43736</v>
      </c>
      <c r="C273" s="11">
        <f>アイスクリームの売り上げデータ!C273</f>
        <v>24.4</v>
      </c>
      <c r="D273" s="11">
        <f>アイスクリームの売り上げデータ!G273</f>
        <v>213</v>
      </c>
    </row>
    <row r="274" spans="2:4">
      <c r="B274" s="17">
        <f>アイスクリームの売り上げデータ!A274</f>
        <v>43737</v>
      </c>
      <c r="C274" s="11">
        <f>アイスクリームの売り上げデータ!C274</f>
        <v>24.7</v>
      </c>
      <c r="D274" s="11">
        <f>アイスクリームの売り上げデータ!G274</f>
        <v>256</v>
      </c>
    </row>
    <row r="275" spans="2:4">
      <c r="B275" s="17">
        <f>アイスクリームの売り上げデータ!A275</f>
        <v>43738</v>
      </c>
      <c r="C275" s="11">
        <f>アイスクリームの売り上げデータ!C275</f>
        <v>25.2</v>
      </c>
      <c r="D275" s="11">
        <f>アイスクリームの売り上げデータ!G275</f>
        <v>162</v>
      </c>
    </row>
    <row r="276" spans="2:4">
      <c r="B276" s="17">
        <f>アイスクリームの売り上げデータ!A276</f>
        <v>43739</v>
      </c>
      <c r="C276" s="11">
        <f>アイスクリームの売り上げデータ!C276</f>
        <v>24.5</v>
      </c>
      <c r="D276" s="11">
        <f>アイスクリームの売り上げデータ!G276</f>
        <v>174</v>
      </c>
    </row>
    <row r="277" spans="2:4">
      <c r="B277" s="17">
        <f>アイスクリームの売り上げデータ!A277</f>
        <v>43740</v>
      </c>
      <c r="C277" s="11">
        <f>アイスクリームの売り上げデータ!C277</f>
        <v>23.9</v>
      </c>
      <c r="D277" s="11">
        <f>アイスクリームの売り上げデータ!G277</f>
        <v>193</v>
      </c>
    </row>
    <row r="278" spans="2:4">
      <c r="B278" s="17">
        <f>アイスクリームの売り上げデータ!A278</f>
        <v>43741</v>
      </c>
      <c r="C278" s="11">
        <f>アイスクリームの売り上げデータ!C278</f>
        <v>24.5</v>
      </c>
      <c r="D278" s="11">
        <f>アイスクリームの売り上げデータ!G278</f>
        <v>171</v>
      </c>
    </row>
    <row r="279" spans="2:4">
      <c r="B279" s="17">
        <f>アイスクリームの売り上げデータ!A279</f>
        <v>43742</v>
      </c>
      <c r="C279" s="11">
        <f>アイスクリームの売り上げデータ!C279</f>
        <v>24.8</v>
      </c>
      <c r="D279" s="11">
        <f>アイスクリームの売り上げデータ!G279</f>
        <v>161</v>
      </c>
    </row>
    <row r="280" spans="2:4">
      <c r="B280" s="17">
        <f>アイスクリームの売り上げデータ!A280</f>
        <v>43743</v>
      </c>
      <c r="C280" s="11">
        <f>アイスクリームの売り上げデータ!C280</f>
        <v>26.1</v>
      </c>
      <c r="D280" s="11">
        <f>アイスクリームの売り上げデータ!G280</f>
        <v>236</v>
      </c>
    </row>
    <row r="281" spans="2:4">
      <c r="B281" s="17">
        <f>アイスクリームの売り上げデータ!A281</f>
        <v>43744</v>
      </c>
      <c r="C281" s="11">
        <f>アイスクリームの売り上げデータ!C281</f>
        <v>20.5</v>
      </c>
      <c r="D281" s="11">
        <f>アイスクリームの売り上げデータ!G281</f>
        <v>217</v>
      </c>
    </row>
    <row r="282" spans="2:4">
      <c r="B282" s="17">
        <f>アイスクリームの売り上げデータ!A282</f>
        <v>43745</v>
      </c>
      <c r="C282" s="11">
        <f>アイスクリームの売り上げデータ!C282</f>
        <v>20</v>
      </c>
      <c r="D282" s="11">
        <f>アイスクリームの売り上げデータ!G282</f>
        <v>138</v>
      </c>
    </row>
    <row r="283" spans="2:4">
      <c r="B283" s="17">
        <f>アイスクリームの売り上げデータ!A283</f>
        <v>43746</v>
      </c>
      <c r="C283" s="11">
        <f>アイスクリームの売り上げデータ!C283</f>
        <v>21.7</v>
      </c>
      <c r="D283" s="11">
        <f>アイスクリームの売り上げデータ!G283</f>
        <v>166</v>
      </c>
    </row>
    <row r="284" spans="2:4">
      <c r="B284" s="17">
        <f>アイスクリームの売り上げデータ!A284</f>
        <v>43747</v>
      </c>
      <c r="C284" s="11">
        <f>アイスクリームの売り上げデータ!C284</f>
        <v>20.8</v>
      </c>
      <c r="D284" s="11">
        <f>アイスクリームの売り上げデータ!G284</f>
        <v>196</v>
      </c>
    </row>
    <row r="285" spans="2:4">
      <c r="B285" s="17">
        <f>アイスクリームの売り上げデータ!A285</f>
        <v>43748</v>
      </c>
      <c r="C285" s="11">
        <f>アイスクリームの売り上げデータ!C285</f>
        <v>19.399999999999999</v>
      </c>
      <c r="D285" s="11">
        <f>アイスクリームの売り上げデータ!G285</f>
        <v>154</v>
      </c>
    </row>
    <row r="286" spans="2:4">
      <c r="B286" s="17">
        <f>アイスクリームの売り上げデータ!A286</f>
        <v>43749</v>
      </c>
      <c r="C286" s="11">
        <f>アイスクリームの売り上げデータ!C286</f>
        <v>19.600000000000001</v>
      </c>
      <c r="D286" s="11">
        <f>アイスクリームの売り上げデータ!G286</f>
        <v>150</v>
      </c>
    </row>
    <row r="287" spans="2:4">
      <c r="B287" s="17">
        <f>アイスクリームの売り上げデータ!A287</f>
        <v>43750</v>
      </c>
      <c r="C287" s="11">
        <f>アイスクリームの売り上げデータ!C287</f>
        <v>23.3</v>
      </c>
      <c r="D287" s="11">
        <f>アイスクリームの売り上げデータ!G287</f>
        <v>0</v>
      </c>
    </row>
    <row r="288" spans="2:4">
      <c r="B288" s="17">
        <f>アイスクリームの売り上げデータ!A288</f>
        <v>43751</v>
      </c>
      <c r="C288" s="11">
        <f>アイスクリームの売り上げデータ!C288</f>
        <v>24.5</v>
      </c>
      <c r="D288" s="11">
        <f>アイスクリームの売り上げデータ!G288</f>
        <v>249</v>
      </c>
    </row>
    <row r="289" spans="2:4">
      <c r="B289" s="17">
        <f>アイスクリームの売り上げデータ!A289</f>
        <v>43752</v>
      </c>
      <c r="C289" s="11">
        <f>アイスクリームの売り上げデータ!C289</f>
        <v>17</v>
      </c>
      <c r="D289" s="11">
        <f>アイスクリームの売り上げデータ!G289</f>
        <v>124</v>
      </c>
    </row>
    <row r="290" spans="2:4">
      <c r="B290" s="17">
        <f>アイスクリームの売り上げデータ!A290</f>
        <v>43753</v>
      </c>
      <c r="C290" s="11">
        <f>アイスクリームの売り上げデータ!C290</f>
        <v>18.399999999999999</v>
      </c>
      <c r="D290" s="11">
        <f>アイスクリームの売り上げデータ!G290</f>
        <v>146</v>
      </c>
    </row>
    <row r="291" spans="2:4">
      <c r="B291" s="17">
        <f>アイスクリームの売り上げデータ!A291</f>
        <v>43754</v>
      </c>
      <c r="C291" s="11">
        <f>アイスクリームの売り上げデータ!C291</f>
        <v>16.100000000000001</v>
      </c>
      <c r="D291" s="11">
        <f>アイスクリームの売り上げデータ!G291</f>
        <v>170</v>
      </c>
    </row>
    <row r="292" spans="2:4">
      <c r="B292" s="17">
        <f>アイスクリームの売り上げデータ!A292</f>
        <v>43755</v>
      </c>
      <c r="C292" s="11">
        <f>アイスクリームの売り上げデータ!C292</f>
        <v>16.2</v>
      </c>
      <c r="D292" s="11">
        <f>アイスクリームの売り上げデータ!G292</f>
        <v>147</v>
      </c>
    </row>
    <row r="293" spans="2:4">
      <c r="B293" s="17">
        <f>アイスクリームの売り上げデータ!A293</f>
        <v>43756</v>
      </c>
      <c r="C293" s="11">
        <f>アイスクリームの売り上げデータ!C293</f>
        <v>16.5</v>
      </c>
      <c r="D293" s="11">
        <f>アイスクリームの売り上げデータ!G293</f>
        <v>135</v>
      </c>
    </row>
    <row r="294" spans="2:4">
      <c r="B294" s="17">
        <f>アイスクリームの売り上げデータ!A294</f>
        <v>43757</v>
      </c>
      <c r="C294" s="11">
        <f>アイスクリームの売り上げデータ!C294</f>
        <v>17.399999999999999</v>
      </c>
      <c r="D294" s="11">
        <f>アイスクリームの売り上げデータ!G294</f>
        <v>123</v>
      </c>
    </row>
    <row r="295" spans="2:4">
      <c r="B295" s="17">
        <f>アイスクリームの売り上げデータ!A295</f>
        <v>43758</v>
      </c>
      <c r="C295" s="11">
        <f>アイスクリームの売り上げデータ!C295</f>
        <v>20.100000000000001</v>
      </c>
      <c r="D295" s="11">
        <f>アイスクリームの売り上げデータ!G295</f>
        <v>252</v>
      </c>
    </row>
    <row r="296" spans="2:4">
      <c r="B296" s="17">
        <f>アイスクリームの売り上げデータ!A296</f>
        <v>43759</v>
      </c>
      <c r="C296" s="11">
        <f>アイスクリームの売り上げデータ!C296</f>
        <v>18.2</v>
      </c>
      <c r="D296" s="11">
        <f>アイスクリームの売り上げデータ!G296</f>
        <v>115</v>
      </c>
    </row>
    <row r="297" spans="2:4">
      <c r="B297" s="17">
        <f>アイスクリームの売り上げデータ!A297</f>
        <v>43760</v>
      </c>
      <c r="C297" s="11">
        <f>アイスクリームの売り上げデータ!C297</f>
        <v>15.4</v>
      </c>
      <c r="D297" s="11">
        <f>アイスクリームの売り上げデータ!G297</f>
        <v>84</v>
      </c>
    </row>
    <row r="298" spans="2:4">
      <c r="B298" s="17">
        <f>アイスクリームの売り上げデータ!A298</f>
        <v>43761</v>
      </c>
      <c r="C298" s="11">
        <f>アイスクリームの売り上げデータ!C298</f>
        <v>18.5</v>
      </c>
      <c r="D298" s="11">
        <f>アイスクリームの売り上げデータ!G298</f>
        <v>184</v>
      </c>
    </row>
    <row r="299" spans="2:4">
      <c r="B299" s="17">
        <f>アイスクリームの売り上げデータ!A299</f>
        <v>43762</v>
      </c>
      <c r="C299" s="11">
        <f>アイスクリームの売り上げデータ!C299</f>
        <v>18.100000000000001</v>
      </c>
      <c r="D299" s="11">
        <f>アイスクリームの売り上げデータ!G299</f>
        <v>139</v>
      </c>
    </row>
    <row r="300" spans="2:4">
      <c r="B300" s="17">
        <f>アイスクリームの売り上げデータ!A300</f>
        <v>43763</v>
      </c>
      <c r="C300" s="11">
        <f>アイスクリームの売り上げデータ!C300</f>
        <v>15.1</v>
      </c>
      <c r="D300" s="11">
        <f>アイスクリームの売り上げデータ!G300</f>
        <v>7</v>
      </c>
    </row>
    <row r="301" spans="2:4">
      <c r="B301" s="17">
        <f>アイスクリームの売り上げデータ!A301</f>
        <v>43764</v>
      </c>
      <c r="C301" s="11">
        <f>アイスクリームの売り上げデータ!C301</f>
        <v>18.100000000000001</v>
      </c>
      <c r="D301" s="11">
        <f>アイスクリームの売り上げデータ!G301</f>
        <v>206</v>
      </c>
    </row>
    <row r="302" spans="2:4">
      <c r="B302" s="17">
        <f>アイスクリームの売り上げデータ!A302</f>
        <v>43765</v>
      </c>
      <c r="C302" s="11">
        <f>アイスクリームの売り上げデータ!C302</f>
        <v>18.3</v>
      </c>
      <c r="D302" s="11">
        <f>アイスクリームの売り上げデータ!G302</f>
        <v>249</v>
      </c>
    </row>
    <row r="303" spans="2:4">
      <c r="B303" s="17">
        <f>アイスクリームの売り上げデータ!A303</f>
        <v>43766</v>
      </c>
      <c r="C303" s="11">
        <f>アイスクリームの売り上げデータ!C303</f>
        <v>17.399999999999999</v>
      </c>
      <c r="D303" s="11">
        <f>アイスクリームの売り上げデータ!G303</f>
        <v>132</v>
      </c>
    </row>
    <row r="304" spans="2:4">
      <c r="B304" s="17">
        <f>アイスクリームの売り上げデータ!A304</f>
        <v>43767</v>
      </c>
      <c r="C304" s="11">
        <f>アイスクリームの売り上げデータ!C304</f>
        <v>14.5</v>
      </c>
      <c r="D304" s="11">
        <f>アイスクリームの売り上げデータ!G304</f>
        <v>116</v>
      </c>
    </row>
    <row r="305" spans="2:4">
      <c r="B305" s="17">
        <f>アイスクリームの売り上げデータ!A305</f>
        <v>43768</v>
      </c>
      <c r="C305" s="11">
        <f>アイスクリームの売り上げデータ!C305</f>
        <v>16.5</v>
      </c>
      <c r="D305" s="11">
        <f>アイスクリームの売り上げデータ!G305</f>
        <v>182</v>
      </c>
    </row>
    <row r="306" spans="2:4">
      <c r="B306" s="17">
        <f>アイスクリームの売り上げデータ!A306</f>
        <v>43769</v>
      </c>
      <c r="C306" s="11">
        <f>アイスクリームの売り上げデータ!C306</f>
        <v>16.8</v>
      </c>
      <c r="D306" s="11">
        <f>アイスクリームの売り上げデータ!G306</f>
        <v>146</v>
      </c>
    </row>
    <row r="307" spans="2:4">
      <c r="B307" s="17">
        <f>アイスクリームの売り上げデータ!A307</f>
        <v>43770</v>
      </c>
      <c r="C307" s="11">
        <f>アイスクリームの売り上げデータ!C307</f>
        <v>17.399999999999999</v>
      </c>
      <c r="D307" s="11">
        <f>アイスクリームの売り上げデータ!G307</f>
        <v>153</v>
      </c>
    </row>
    <row r="308" spans="2:4">
      <c r="B308" s="17">
        <f>アイスクリームの売り上げデータ!A308</f>
        <v>43771</v>
      </c>
      <c r="C308" s="11">
        <f>アイスクリームの売り上げデータ!C308</f>
        <v>15.7</v>
      </c>
      <c r="D308" s="11">
        <f>アイスクリームの売り上げデータ!G308</f>
        <v>198</v>
      </c>
    </row>
    <row r="309" spans="2:4">
      <c r="B309" s="17">
        <f>アイスクリームの売り上げデータ!A309</f>
        <v>43772</v>
      </c>
      <c r="C309" s="11">
        <f>アイスクリームの売り上げデータ!C309</f>
        <v>15.8</v>
      </c>
      <c r="D309" s="11">
        <f>アイスクリームの売り上げデータ!G309</f>
        <v>213</v>
      </c>
    </row>
    <row r="310" spans="2:4">
      <c r="B310" s="17">
        <f>アイスクリームの売り上げデータ!A310</f>
        <v>43773</v>
      </c>
      <c r="C310" s="11">
        <f>アイスクリームの売り上げデータ!C310</f>
        <v>14.6</v>
      </c>
      <c r="D310" s="11">
        <f>アイスクリームの売り上げデータ!G310</f>
        <v>115</v>
      </c>
    </row>
    <row r="311" spans="2:4">
      <c r="B311" s="17">
        <f>アイスクリームの売り上げデータ!A311</f>
        <v>43774</v>
      </c>
      <c r="C311" s="11">
        <f>アイスクリームの売り上げデータ!C311</f>
        <v>13.7</v>
      </c>
      <c r="D311" s="11">
        <f>アイスクリームの売り上げデータ!G311</f>
        <v>128</v>
      </c>
    </row>
    <row r="312" spans="2:4">
      <c r="B312" s="17">
        <f>アイスクリームの売り上げデータ!A312</f>
        <v>43775</v>
      </c>
      <c r="C312" s="11">
        <f>アイスクリームの売り上げデータ!C312</f>
        <v>14.3</v>
      </c>
      <c r="D312" s="11">
        <f>アイスクリームの売り上げデータ!G312</f>
        <v>160</v>
      </c>
    </row>
    <row r="313" spans="2:4">
      <c r="B313" s="17">
        <f>アイスクリームの売り上げデータ!A313</f>
        <v>43776</v>
      </c>
      <c r="C313" s="11">
        <f>アイスクリームの売り上げデータ!C313</f>
        <v>16</v>
      </c>
      <c r="D313" s="11">
        <f>アイスクリームの売り上げデータ!G313</f>
        <v>136</v>
      </c>
    </row>
    <row r="314" spans="2:4">
      <c r="B314" s="17">
        <f>アイスクリームの売り上げデータ!A314</f>
        <v>43777</v>
      </c>
      <c r="C314" s="11">
        <f>アイスクリームの売り上げデータ!C314</f>
        <v>15.1</v>
      </c>
      <c r="D314" s="11">
        <f>アイスクリームの売り上げデータ!G314</f>
        <v>132</v>
      </c>
    </row>
    <row r="315" spans="2:4">
      <c r="B315" s="17">
        <f>アイスクリームの売り上げデータ!A315</f>
        <v>43778</v>
      </c>
      <c r="C315" s="11">
        <f>アイスクリームの売り上げデータ!C315</f>
        <v>13.3</v>
      </c>
      <c r="D315" s="11">
        <f>アイスクリームの売り上げデータ!G315</f>
        <v>168</v>
      </c>
    </row>
    <row r="316" spans="2:4">
      <c r="B316" s="17">
        <f>アイスクリームの売り上げデータ!A316</f>
        <v>43779</v>
      </c>
      <c r="C316" s="11">
        <f>アイスクリームの売り上げデータ!C316</f>
        <v>13.9</v>
      </c>
      <c r="D316" s="11">
        <f>アイスクリームの売り上げデータ!G316</f>
        <v>238</v>
      </c>
    </row>
    <row r="317" spans="2:4">
      <c r="B317" s="17">
        <f>アイスクリームの売り上げデータ!A317</f>
        <v>43780</v>
      </c>
      <c r="C317" s="11">
        <f>アイスクリームの売り上げデータ!C317</f>
        <v>12.9</v>
      </c>
      <c r="D317" s="11">
        <f>アイスクリームの売り上げデータ!G317</f>
        <v>113</v>
      </c>
    </row>
    <row r="318" spans="2:4">
      <c r="B318" s="17">
        <f>アイスクリームの売り上げデータ!A318</f>
        <v>43781</v>
      </c>
      <c r="C318" s="11">
        <f>アイスクリームの売り上げデータ!C318</f>
        <v>15.1</v>
      </c>
      <c r="D318" s="11">
        <f>アイスクリームの売り上げデータ!G318</f>
        <v>145</v>
      </c>
    </row>
    <row r="319" spans="2:4">
      <c r="B319" s="17">
        <f>アイスクリームの売り上げデータ!A319</f>
        <v>43782</v>
      </c>
      <c r="C319" s="11">
        <f>アイスクリームの売り上げデータ!C319</f>
        <v>13.3</v>
      </c>
      <c r="D319" s="11">
        <f>アイスクリームの売り上げデータ!G319</f>
        <v>152</v>
      </c>
    </row>
    <row r="320" spans="2:4">
      <c r="B320" s="17">
        <f>アイスクリームの売り上げデータ!A320</f>
        <v>43783</v>
      </c>
      <c r="C320" s="11">
        <f>アイスクリームの売り上げデータ!C320</f>
        <v>16.899999999999999</v>
      </c>
      <c r="D320" s="11">
        <f>アイスクリームの売り上げデータ!G320</f>
        <v>140</v>
      </c>
    </row>
    <row r="321" spans="2:4">
      <c r="B321" s="17">
        <f>アイスクリームの売り上げデータ!A321</f>
        <v>43784</v>
      </c>
      <c r="C321" s="11">
        <f>アイスクリームの売り上げデータ!C321</f>
        <v>12.6</v>
      </c>
      <c r="D321" s="11">
        <f>アイスクリームの売り上げデータ!G321</f>
        <v>136</v>
      </c>
    </row>
    <row r="322" spans="2:4">
      <c r="B322" s="17">
        <f>アイスクリームの売り上げデータ!A322</f>
        <v>43785</v>
      </c>
      <c r="C322" s="11">
        <f>アイスクリームの売り上げデータ!C322</f>
        <v>12.8</v>
      </c>
      <c r="D322" s="11">
        <f>アイスクリームの売り上げデータ!G322</f>
        <v>168</v>
      </c>
    </row>
    <row r="323" spans="2:4">
      <c r="B323" s="17">
        <f>アイスクリームの売り上げデータ!A323</f>
        <v>43786</v>
      </c>
      <c r="C323" s="11">
        <f>アイスクリームの売り上げデータ!C323</f>
        <v>13.4</v>
      </c>
      <c r="D323" s="11">
        <f>アイスクリームの売り上げデータ!G323</f>
        <v>226</v>
      </c>
    </row>
    <row r="324" spans="2:4">
      <c r="B324" s="17">
        <f>アイスクリームの売り上げデータ!A324</f>
        <v>43787</v>
      </c>
      <c r="C324" s="11">
        <f>アイスクリームの売り上げデータ!C324</f>
        <v>16.100000000000001</v>
      </c>
      <c r="D324" s="11">
        <f>アイスクリームの売り上げデータ!G324</f>
        <v>114</v>
      </c>
    </row>
    <row r="325" spans="2:4">
      <c r="B325" s="17">
        <f>アイスクリームの売り上げデータ!A325</f>
        <v>43788</v>
      </c>
      <c r="C325" s="11">
        <f>アイスクリームの売り上げデータ!C325</f>
        <v>15.8</v>
      </c>
      <c r="D325" s="11">
        <f>アイスクリームの売り上げデータ!G325</f>
        <v>152</v>
      </c>
    </row>
    <row r="326" spans="2:4">
      <c r="B326" s="17">
        <f>アイスクリームの売り上げデータ!A326</f>
        <v>43789</v>
      </c>
      <c r="C326" s="11">
        <f>アイスクリームの売り上げデータ!C326</f>
        <v>12</v>
      </c>
      <c r="D326" s="11">
        <f>アイスクリームの売り上げデータ!G326</f>
        <v>166</v>
      </c>
    </row>
    <row r="327" spans="2:4">
      <c r="B327" s="17">
        <f>アイスクリームの売り上げデータ!A327</f>
        <v>43790</v>
      </c>
      <c r="C327" s="11">
        <f>アイスクリームの売り上げデータ!C327</f>
        <v>11.3</v>
      </c>
      <c r="D327" s="11">
        <f>アイスクリームの売り上げデータ!G327</f>
        <v>134</v>
      </c>
    </row>
    <row r="328" spans="2:4">
      <c r="B328" s="17">
        <f>アイスクリームの売り上げデータ!A328</f>
        <v>43791</v>
      </c>
      <c r="C328" s="11">
        <f>アイスクリームの売り上げデータ!C328</f>
        <v>8.1</v>
      </c>
      <c r="D328" s="11">
        <f>アイスクリームの売り上げデータ!G328</f>
        <v>62</v>
      </c>
    </row>
    <row r="329" spans="2:4">
      <c r="B329" s="17">
        <f>アイスクリームの売り上げデータ!A329</f>
        <v>43792</v>
      </c>
      <c r="C329" s="11">
        <f>アイスクリームの売り上げデータ!C329</f>
        <v>11.3</v>
      </c>
      <c r="D329" s="11">
        <f>アイスクリームの売り上げデータ!G329</f>
        <v>117</v>
      </c>
    </row>
    <row r="330" spans="2:4">
      <c r="B330" s="17">
        <f>アイスクリームの売り上げデータ!A330</f>
        <v>43793</v>
      </c>
      <c r="C330" s="11">
        <f>アイスクリームの売り上げデータ!C330</f>
        <v>15.9</v>
      </c>
      <c r="D330" s="11">
        <f>アイスクリームの売り上げデータ!G330</f>
        <v>226</v>
      </c>
    </row>
    <row r="331" spans="2:4">
      <c r="B331" s="17">
        <f>アイスクリームの売り上げデータ!A331</f>
        <v>43794</v>
      </c>
      <c r="C331" s="11">
        <f>アイスクリームの売り上げデータ!C331</f>
        <v>16.600000000000001</v>
      </c>
      <c r="D331" s="11">
        <f>アイスクリームの売り上げデータ!G331</f>
        <v>128</v>
      </c>
    </row>
    <row r="332" spans="2:4">
      <c r="B332" s="17">
        <f>アイスクリームの売り上げデータ!A332</f>
        <v>43795</v>
      </c>
      <c r="C332" s="11">
        <f>アイスクリームの売り上げデータ!C332</f>
        <v>8.8000000000000007</v>
      </c>
      <c r="D332" s="11">
        <f>アイスクリームの売り上げデータ!G332</f>
        <v>113</v>
      </c>
    </row>
    <row r="333" spans="2:4">
      <c r="B333" s="17">
        <f>アイスクリームの売り上げデータ!A333</f>
        <v>43796</v>
      </c>
      <c r="C333" s="11">
        <f>アイスクリームの売り上げデータ!C333</f>
        <v>9.3000000000000007</v>
      </c>
      <c r="D333" s="11">
        <f>アイスクリームの売り上げデータ!G333</f>
        <v>128</v>
      </c>
    </row>
    <row r="334" spans="2:4">
      <c r="B334" s="17">
        <f>アイスクリームの売り上げデータ!A334</f>
        <v>43797</v>
      </c>
      <c r="C334" s="11">
        <f>アイスクリームの売り上げデータ!C334</f>
        <v>8.5</v>
      </c>
      <c r="D334" s="11">
        <f>アイスクリームの売り上げデータ!G334</f>
        <v>109</v>
      </c>
    </row>
    <row r="335" spans="2:4">
      <c r="B335" s="17">
        <f>アイスクリームの売り上げデータ!A335</f>
        <v>43798</v>
      </c>
      <c r="C335" s="11">
        <f>アイスクリームの売り上げデータ!C335</f>
        <v>5.2</v>
      </c>
      <c r="D335" s="11">
        <f>アイスクリームの売り上げデータ!G335</f>
        <v>96</v>
      </c>
    </row>
    <row r="336" spans="2:4">
      <c r="B336" s="17">
        <f>アイスクリームの売り上げデータ!A336</f>
        <v>43799</v>
      </c>
      <c r="C336" s="11">
        <f>アイスクリームの売り上げデータ!C336</f>
        <v>7.3</v>
      </c>
      <c r="D336" s="11">
        <f>アイスクリームの売り上げデータ!G336</f>
        <v>143</v>
      </c>
    </row>
    <row r="337" spans="2:4">
      <c r="B337" s="17">
        <f>アイスクリームの売り上げデータ!A337</f>
        <v>43800</v>
      </c>
      <c r="C337" s="11">
        <f>アイスクリームの売り上げデータ!C337</f>
        <v>7.4</v>
      </c>
      <c r="D337" s="11">
        <f>アイスクリームの売り上げデータ!G337</f>
        <v>211</v>
      </c>
    </row>
    <row r="338" spans="2:4">
      <c r="B338" s="17">
        <f>アイスクリームの売り上げデータ!A338</f>
        <v>43801</v>
      </c>
      <c r="C338" s="11">
        <f>アイスクリームの売り上げデータ!C338</f>
        <v>9.5</v>
      </c>
      <c r="D338" s="11">
        <f>アイスクリームの売り上げデータ!G338</f>
        <v>60</v>
      </c>
    </row>
    <row r="339" spans="2:4">
      <c r="B339" s="17">
        <f>アイスクリームの売り上げデータ!A339</f>
        <v>43802</v>
      </c>
      <c r="C339" s="11">
        <f>アイスクリームの売り上げデータ!C339</f>
        <v>11.8</v>
      </c>
      <c r="D339" s="11">
        <f>アイスクリームの売り上げデータ!G339</f>
        <v>129</v>
      </c>
    </row>
    <row r="340" spans="2:4">
      <c r="B340" s="17">
        <f>アイスクリームの売り上げデータ!A340</f>
        <v>43803</v>
      </c>
      <c r="C340" s="11">
        <f>アイスクリームの売り上げデータ!C340</f>
        <v>10.199999999999999</v>
      </c>
      <c r="D340" s="11">
        <f>アイスクリームの売り上げデータ!G340</f>
        <v>162</v>
      </c>
    </row>
    <row r="341" spans="2:4">
      <c r="B341" s="17">
        <f>アイスクリームの売り上げデータ!A341</f>
        <v>43804</v>
      </c>
      <c r="C341" s="11">
        <f>アイスクリームの売り上げデータ!C341</f>
        <v>9.6</v>
      </c>
      <c r="D341" s="11">
        <f>アイスクリームの売り上げデータ!G341</f>
        <v>115</v>
      </c>
    </row>
    <row r="342" spans="2:4">
      <c r="B342" s="17">
        <f>アイスクリームの売り上げデータ!A342</f>
        <v>43805</v>
      </c>
      <c r="C342" s="11">
        <f>アイスクリームの売り上げデータ!C342</f>
        <v>8</v>
      </c>
      <c r="D342" s="11">
        <f>アイスクリームの売り上げデータ!G342</f>
        <v>112</v>
      </c>
    </row>
    <row r="343" spans="2:4">
      <c r="B343" s="17">
        <f>アイスクリームの売り上げデータ!A343</f>
        <v>43806</v>
      </c>
      <c r="C343" s="11">
        <f>アイスクリームの売り上げデータ!C343</f>
        <v>5.5</v>
      </c>
      <c r="D343" s="11">
        <f>アイスクリームの売り上げデータ!G343</f>
        <v>143</v>
      </c>
    </row>
    <row r="344" spans="2:4">
      <c r="B344" s="17">
        <f>アイスクリームの売り上げデータ!A344</f>
        <v>43807</v>
      </c>
      <c r="C344" s="11">
        <f>アイスクリームの売り上げデータ!C344</f>
        <v>7.4</v>
      </c>
      <c r="D344" s="11">
        <f>アイスクリームの売り上げデータ!G344</f>
        <v>196</v>
      </c>
    </row>
    <row r="345" spans="2:4">
      <c r="B345" s="17">
        <f>アイスクリームの売り上げデータ!A345</f>
        <v>43808</v>
      </c>
      <c r="C345" s="11">
        <f>アイスクリームの売り上げデータ!C345</f>
        <v>6.4</v>
      </c>
      <c r="D345" s="11">
        <f>アイスクリームの売り上げデータ!G345</f>
        <v>80</v>
      </c>
    </row>
    <row r="346" spans="2:4">
      <c r="B346" s="17">
        <f>アイスクリームの売り上げデータ!A346</f>
        <v>43809</v>
      </c>
      <c r="C346" s="11">
        <f>アイスクリームの売り上げデータ!C346</f>
        <v>10.199999999999999</v>
      </c>
      <c r="D346" s="11">
        <f>アイスクリームの売り上げデータ!G346</f>
        <v>113</v>
      </c>
    </row>
    <row r="347" spans="2:4">
      <c r="B347" s="17">
        <f>アイスクリームの売り上げデータ!A347</f>
        <v>43810</v>
      </c>
      <c r="C347" s="11">
        <f>アイスクリームの売り上げデータ!C347</f>
        <v>11.7</v>
      </c>
      <c r="D347" s="11">
        <f>アイスクリームの売り上げデータ!G347</f>
        <v>156</v>
      </c>
    </row>
    <row r="348" spans="2:4">
      <c r="B348" s="17">
        <f>アイスクリームの売り上げデータ!A348</f>
        <v>43811</v>
      </c>
      <c r="C348" s="11">
        <f>アイスクリームの売り上げデータ!C348</f>
        <v>11.7</v>
      </c>
      <c r="D348" s="11">
        <f>アイスクリームの売り上げデータ!G348</f>
        <v>144</v>
      </c>
    </row>
    <row r="349" spans="2:4">
      <c r="B349" s="17">
        <f>アイスクリームの売り上げデータ!A349</f>
        <v>43812</v>
      </c>
      <c r="C349" s="11">
        <f>アイスクリームの売り上げデータ!C349</f>
        <v>7.5</v>
      </c>
      <c r="D349" s="11">
        <f>アイスクリームの売り上げデータ!G349</f>
        <v>108</v>
      </c>
    </row>
    <row r="350" spans="2:4">
      <c r="B350" s="17">
        <f>アイスクリームの売り上げデータ!A350</f>
        <v>43813</v>
      </c>
      <c r="C350" s="11">
        <f>アイスクリームの売り上げデータ!C350</f>
        <v>9.4</v>
      </c>
      <c r="D350" s="11">
        <f>アイスクリームの売り上げデータ!G350</f>
        <v>169</v>
      </c>
    </row>
    <row r="351" spans="2:4">
      <c r="B351" s="17">
        <f>アイスクリームの売り上げデータ!A351</f>
        <v>43814</v>
      </c>
      <c r="C351" s="11">
        <f>アイスクリームの売り上げデータ!C351</f>
        <v>8.6999999999999993</v>
      </c>
      <c r="D351" s="11">
        <f>アイスクリームの売り上げデータ!G351</f>
        <v>212</v>
      </c>
    </row>
    <row r="352" spans="2:4">
      <c r="B352" s="17">
        <f>アイスクリームの売り上げデータ!A352</f>
        <v>43815</v>
      </c>
      <c r="C352" s="11">
        <f>アイスクリームの売り上げデータ!C352</f>
        <v>7.8</v>
      </c>
      <c r="D352" s="11">
        <f>アイスクリームの売り上げデータ!G352</f>
        <v>83</v>
      </c>
    </row>
    <row r="353" spans="2:4">
      <c r="B353" s="17">
        <f>アイスクリームの売り上げデータ!A353</f>
        <v>43816</v>
      </c>
      <c r="C353" s="11">
        <f>アイスクリームの売り上げデータ!C353</f>
        <v>8.1999999999999993</v>
      </c>
      <c r="D353" s="11">
        <f>アイスクリームの売り上げデータ!G353</f>
        <v>126</v>
      </c>
    </row>
    <row r="354" spans="2:4">
      <c r="B354" s="17">
        <f>アイスクリームの売り上げデータ!A354</f>
        <v>43817</v>
      </c>
      <c r="C354" s="11">
        <f>アイスクリームの売り上げデータ!C354</f>
        <v>11.1</v>
      </c>
      <c r="D354" s="11">
        <f>アイスクリームの売り上げデータ!G354</f>
        <v>151</v>
      </c>
    </row>
    <row r="355" spans="2:4">
      <c r="B355" s="17">
        <f>アイスクリームの売り上げデータ!A355</f>
        <v>43818</v>
      </c>
      <c r="C355" s="11">
        <f>アイスクリームの売り上げデータ!C355</f>
        <v>9</v>
      </c>
      <c r="D355" s="11">
        <f>アイスクリームの売り上げデータ!G355</f>
        <v>121</v>
      </c>
    </row>
    <row r="356" spans="2:4">
      <c r="B356" s="17">
        <f>アイスクリームの売り上げデータ!A356</f>
        <v>43819</v>
      </c>
      <c r="C356" s="11">
        <f>アイスクリームの売り上げデータ!C356</f>
        <v>10.6</v>
      </c>
      <c r="D356" s="11">
        <f>アイスクリームの売り上げデータ!G356</f>
        <v>128</v>
      </c>
    </row>
    <row r="357" spans="2:4">
      <c r="B357" s="17">
        <f>アイスクリームの売り上げデータ!A357</f>
        <v>43820</v>
      </c>
      <c r="C357" s="11">
        <f>アイスクリームの売り上げデータ!C357</f>
        <v>8.1</v>
      </c>
      <c r="D357" s="11">
        <f>アイスクリームの売り上げデータ!G357</f>
        <v>165</v>
      </c>
    </row>
    <row r="358" spans="2:4">
      <c r="B358" s="17">
        <f>アイスクリームの売り上げデータ!A358</f>
        <v>43821</v>
      </c>
      <c r="C358" s="11">
        <f>アイスクリームの売り上げデータ!C358</f>
        <v>6.8</v>
      </c>
      <c r="D358" s="11">
        <f>アイスクリームの売り上げデータ!G358</f>
        <v>157</v>
      </c>
    </row>
    <row r="359" spans="2:4">
      <c r="B359" s="17">
        <f>アイスクリームの売り上げデータ!A359</f>
        <v>43822</v>
      </c>
      <c r="C359" s="11">
        <f>アイスクリームの売り上げデータ!C359</f>
        <v>6.8</v>
      </c>
      <c r="D359" s="11">
        <f>アイスクリームの売り上げデータ!G359</f>
        <v>77</v>
      </c>
    </row>
    <row r="360" spans="2:4">
      <c r="B360" s="17">
        <f>アイスクリームの売り上げデータ!A360</f>
        <v>43823</v>
      </c>
      <c r="C360" s="11">
        <f>アイスクリームの売り上げデータ!C360</f>
        <v>8.1999999999999993</v>
      </c>
      <c r="D360" s="11">
        <f>アイスクリームの売り上げデータ!G360</f>
        <v>120</v>
      </c>
    </row>
    <row r="361" spans="2:4">
      <c r="B361" s="17">
        <f>アイスクリームの売り上げデータ!A361</f>
        <v>43824</v>
      </c>
      <c r="C361" s="11">
        <f>アイスクリームの売り上げデータ!C361</f>
        <v>5.9</v>
      </c>
      <c r="D361" s="11">
        <f>アイスクリームの売り上げデータ!G361</f>
        <v>143</v>
      </c>
    </row>
    <row r="362" spans="2:4">
      <c r="B362" s="17">
        <f>アイスクリームの売り上げデータ!A362</f>
        <v>43825</v>
      </c>
      <c r="C362" s="11">
        <f>アイスクリームの売り上げデータ!C362</f>
        <v>7.8</v>
      </c>
      <c r="D362" s="11">
        <f>アイスクリームの売り上げデータ!G362</f>
        <v>107</v>
      </c>
    </row>
    <row r="363" spans="2:4">
      <c r="B363" s="17">
        <f>アイスクリームの売り上げデータ!A363</f>
        <v>43826</v>
      </c>
      <c r="C363" s="11">
        <f>アイスクリームの売り上げデータ!C363</f>
        <v>8.6999999999999993</v>
      </c>
      <c r="D363" s="11">
        <f>アイスクリームの売り上げデータ!G363</f>
        <v>125</v>
      </c>
    </row>
    <row r="364" spans="2:4">
      <c r="B364" s="17">
        <f>アイスクリームの売り上げデータ!A364</f>
        <v>43827</v>
      </c>
      <c r="C364" s="11">
        <f>アイスクリームの売り上げデータ!C364</f>
        <v>6.8</v>
      </c>
      <c r="D364" s="11">
        <f>アイスクリームの売り上げデータ!G364</f>
        <v>168</v>
      </c>
    </row>
    <row r="365" spans="2:4">
      <c r="B365" s="17">
        <f>アイスクリームの売り上げデータ!A365</f>
        <v>43828</v>
      </c>
      <c r="C365" s="11">
        <f>アイスクリームの売り上げデータ!C365</f>
        <v>7</v>
      </c>
      <c r="D365" s="11">
        <f>アイスクリームの売り上げデータ!G365</f>
        <v>199</v>
      </c>
    </row>
    <row r="366" spans="2:4">
      <c r="B366" s="17">
        <f>アイスクリームの売り上げデータ!A366</f>
        <v>43829</v>
      </c>
      <c r="C366" s="11">
        <f>アイスクリームの売り上げデータ!C366</f>
        <v>6.7</v>
      </c>
      <c r="D366" s="11">
        <f>アイスクリームの売り上げデータ!G366</f>
        <v>88</v>
      </c>
    </row>
    <row r="367" spans="2:4">
      <c r="B367" s="17">
        <f>アイスクリームの売り上げデータ!A367</f>
        <v>43830</v>
      </c>
      <c r="C367" s="11">
        <f>アイスクリームの売り上げデータ!C367</f>
        <v>8.1999999999999993</v>
      </c>
      <c r="D367" s="11">
        <f>アイスクリームの売り上げデータ!G367</f>
        <v>117</v>
      </c>
    </row>
  </sheetData>
  <phoneticPr fontId="4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F7CE-BDB3-0D41-8691-7967873AA23B}">
  <dimension ref="B2:G36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38" sqref="I38"/>
    </sheetView>
  </sheetViews>
  <sheetFormatPr baseColWidth="10" defaultRowHeight="16"/>
  <cols>
    <col min="2" max="2" width="10.7109375" style="15"/>
    <col min="7" max="7" width="12" bestFit="1" customWidth="1"/>
    <col min="8" max="8" width="11.28515625" customWidth="1"/>
    <col min="9" max="9" width="10.7109375" customWidth="1"/>
  </cols>
  <sheetData>
    <row r="2" spans="2:7" ht="17">
      <c r="B2" s="18"/>
      <c r="C2" s="19" t="s">
        <v>43</v>
      </c>
      <c r="D2" s="19" t="s">
        <v>10</v>
      </c>
    </row>
    <row r="3" spans="2:7">
      <c r="B3" s="17">
        <f>アイスクリームの売り上げデータ!A3</f>
        <v>43466</v>
      </c>
      <c r="C3" s="21">
        <v>0</v>
      </c>
      <c r="D3" s="11">
        <f>アイスクリームの売り上げデータ!G3</f>
        <v>101</v>
      </c>
    </row>
    <row r="4" spans="2:7" ht="17">
      <c r="B4" s="17">
        <f>アイスクリームの売り上げデータ!A4</f>
        <v>43467</v>
      </c>
      <c r="C4" s="22">
        <v>0</v>
      </c>
      <c r="D4" s="11">
        <f>アイスクリームの売り上げデータ!G4</f>
        <v>119</v>
      </c>
      <c r="F4" s="12" t="s">
        <v>42</v>
      </c>
      <c r="G4" s="11">
        <f>CORREL(C3:C367,D3:D367)</f>
        <v>-0.36265194790429572</v>
      </c>
    </row>
    <row r="5" spans="2:7">
      <c r="B5" s="17">
        <f>アイスクリームの売り上げデータ!A5</f>
        <v>43468</v>
      </c>
      <c r="C5" s="22">
        <v>0</v>
      </c>
      <c r="D5" s="11">
        <f>アイスクリームの売り上げデータ!G5</f>
        <v>98</v>
      </c>
    </row>
    <row r="6" spans="2:7">
      <c r="B6" s="17">
        <f>アイスクリームの売り上げデータ!A6</f>
        <v>43469</v>
      </c>
      <c r="C6" s="22">
        <v>0</v>
      </c>
      <c r="D6" s="11">
        <f>アイスクリームの売り上げデータ!G6</f>
        <v>106</v>
      </c>
    </row>
    <row r="7" spans="2:7">
      <c r="B7" s="17">
        <f>アイスクリームの売り上げデータ!A7</f>
        <v>43470</v>
      </c>
      <c r="C7" s="22">
        <v>0</v>
      </c>
      <c r="D7" s="11">
        <f>アイスクリームの売り上げデータ!G7</f>
        <v>174</v>
      </c>
    </row>
    <row r="8" spans="2:7">
      <c r="B8" s="17">
        <f>アイスクリームの売り上げデータ!A8</f>
        <v>43471</v>
      </c>
      <c r="C8" s="22">
        <v>0</v>
      </c>
      <c r="D8" s="11">
        <f>アイスクリームの売り上げデータ!G8</f>
        <v>206</v>
      </c>
    </row>
    <row r="9" spans="2:7">
      <c r="B9" s="17">
        <f>アイスクリームの売り上げデータ!A9</f>
        <v>43472</v>
      </c>
      <c r="C9" s="22">
        <v>0</v>
      </c>
      <c r="D9" s="11">
        <f>アイスクリームの売り上げデータ!G9</f>
        <v>90</v>
      </c>
    </row>
    <row r="10" spans="2:7">
      <c r="B10" s="17">
        <f>アイスクリームの売り上げデータ!A10</f>
        <v>43473</v>
      </c>
      <c r="C10" s="22">
        <v>0</v>
      </c>
      <c r="D10" s="11">
        <f>アイスクリームの売り上げデータ!G10</f>
        <v>110</v>
      </c>
    </row>
    <row r="11" spans="2:7">
      <c r="B11" s="17">
        <f>アイスクリームの売り上げデータ!A11</f>
        <v>43474</v>
      </c>
      <c r="C11" s="22">
        <v>0</v>
      </c>
      <c r="D11" s="11">
        <f>アイスクリームの売り上げデータ!G11</f>
        <v>117</v>
      </c>
    </row>
    <row r="12" spans="2:7">
      <c r="B12" s="17">
        <f>アイスクリームの売り上げデータ!A12</f>
        <v>43475</v>
      </c>
      <c r="C12" s="22">
        <v>0</v>
      </c>
      <c r="D12" s="11">
        <f>アイスクリームの売り上げデータ!G12</f>
        <v>104</v>
      </c>
    </row>
    <row r="13" spans="2:7">
      <c r="B13" s="17">
        <f>アイスクリームの売り上げデータ!A13</f>
        <v>43476</v>
      </c>
      <c r="C13" s="22">
        <v>0</v>
      </c>
      <c r="D13" s="11">
        <f>アイスクリームの売り上げデータ!G13</f>
        <v>117</v>
      </c>
    </row>
    <row r="14" spans="2:7">
      <c r="B14" s="17">
        <f>アイスクリームの売り上げデータ!A14</f>
        <v>43477</v>
      </c>
      <c r="C14" s="22">
        <v>0</v>
      </c>
      <c r="D14" s="11">
        <f>アイスクリームの売り上げデータ!G14</f>
        <v>161</v>
      </c>
    </row>
    <row r="15" spans="2:7">
      <c r="B15" s="17">
        <f>アイスクリームの売り上げデータ!A15</f>
        <v>43478</v>
      </c>
      <c r="C15" s="22">
        <v>0</v>
      </c>
      <c r="D15" s="11">
        <f>アイスクリームの売り上げデータ!G15</f>
        <v>176</v>
      </c>
    </row>
    <row r="16" spans="2:7">
      <c r="B16" s="17">
        <f>アイスクリームの売り上げデータ!A16</f>
        <v>43479</v>
      </c>
      <c r="C16" s="22">
        <v>0</v>
      </c>
      <c r="D16" s="11">
        <f>アイスクリームの売り上げデータ!G16</f>
        <v>87</v>
      </c>
    </row>
    <row r="17" spans="2:4">
      <c r="B17" s="17">
        <f>アイスクリームの売り上げデータ!A17</f>
        <v>43480</v>
      </c>
      <c r="C17" s="22">
        <v>0.5</v>
      </c>
      <c r="D17" s="11">
        <f>アイスクリームの売り上げデータ!G17</f>
        <v>100</v>
      </c>
    </row>
    <row r="18" spans="2:4">
      <c r="B18" s="17">
        <f>アイスクリームの売り上げデータ!A18</f>
        <v>43481</v>
      </c>
      <c r="C18" s="22">
        <v>0</v>
      </c>
      <c r="D18" s="11">
        <f>アイスクリームの売り上げデータ!G18</f>
        <v>130</v>
      </c>
    </row>
    <row r="19" spans="2:4">
      <c r="B19" s="17">
        <f>アイスクリームの売り上げデータ!A19</f>
        <v>43482</v>
      </c>
      <c r="C19" s="22">
        <v>0</v>
      </c>
      <c r="D19" s="11">
        <f>アイスクリームの売り上げデータ!G19</f>
        <v>117</v>
      </c>
    </row>
    <row r="20" spans="2:4">
      <c r="B20" s="17">
        <f>アイスクリームの売り上げデータ!A20</f>
        <v>43483</v>
      </c>
      <c r="C20" s="22">
        <v>0</v>
      </c>
      <c r="D20" s="11">
        <f>アイスクリームの売り上げデータ!G20</f>
        <v>102</v>
      </c>
    </row>
    <row r="21" spans="2:4">
      <c r="B21" s="17">
        <f>アイスクリームの売り上げデータ!A21</f>
        <v>43484</v>
      </c>
      <c r="C21" s="22">
        <v>0</v>
      </c>
      <c r="D21" s="11">
        <f>アイスクリームの売り上げデータ!G21</f>
        <v>160</v>
      </c>
    </row>
    <row r="22" spans="2:4">
      <c r="B22" s="17">
        <f>アイスクリームの売り上げデータ!A22</f>
        <v>43485</v>
      </c>
      <c r="C22" s="22">
        <v>0</v>
      </c>
      <c r="D22" s="11">
        <f>アイスクリームの売り上げデータ!G22</f>
        <v>187</v>
      </c>
    </row>
    <row r="23" spans="2:4">
      <c r="B23" s="17">
        <f>アイスクリームの売り上げデータ!A23</f>
        <v>43486</v>
      </c>
      <c r="C23" s="22">
        <v>0</v>
      </c>
      <c r="D23" s="11">
        <f>アイスクリームの売り上げデータ!G23</f>
        <v>90</v>
      </c>
    </row>
    <row r="24" spans="2:4">
      <c r="B24" s="17">
        <f>アイスクリームの売り上げデータ!A24</f>
        <v>43487</v>
      </c>
      <c r="C24" s="22">
        <v>0</v>
      </c>
      <c r="D24" s="11">
        <f>アイスクリームの売り上げデータ!G24</f>
        <v>98</v>
      </c>
    </row>
    <row r="25" spans="2:4">
      <c r="B25" s="17">
        <f>アイスクリームの売り上げデータ!A25</f>
        <v>43488</v>
      </c>
      <c r="C25" s="22">
        <v>0</v>
      </c>
      <c r="D25" s="11">
        <f>アイスクリームの売り上げデータ!G25</f>
        <v>139</v>
      </c>
    </row>
    <row r="26" spans="2:4">
      <c r="B26" s="17">
        <f>アイスクリームの売り上げデータ!A26</f>
        <v>43489</v>
      </c>
      <c r="C26" s="22">
        <v>0</v>
      </c>
      <c r="D26" s="11">
        <f>アイスクリームの売り上げデータ!G26</f>
        <v>112</v>
      </c>
    </row>
    <row r="27" spans="2:4">
      <c r="B27" s="17">
        <f>アイスクリームの売り上げデータ!A27</f>
        <v>43490</v>
      </c>
      <c r="C27" s="22">
        <v>0</v>
      </c>
      <c r="D27" s="11">
        <f>アイスクリームの売り上げデータ!G27</f>
        <v>111</v>
      </c>
    </row>
    <row r="28" spans="2:4">
      <c r="B28" s="17">
        <f>アイスクリームの売り上げデータ!A28</f>
        <v>43491</v>
      </c>
      <c r="C28" s="22">
        <v>0</v>
      </c>
      <c r="D28" s="11">
        <f>アイスクリームの売り上げデータ!G28</f>
        <v>152</v>
      </c>
    </row>
    <row r="29" spans="2:4">
      <c r="B29" s="17">
        <f>アイスクリームの売り上げデータ!A29</f>
        <v>43492</v>
      </c>
      <c r="C29" s="22">
        <v>0</v>
      </c>
      <c r="D29" s="11">
        <f>アイスクリームの売り上げデータ!G29</f>
        <v>170</v>
      </c>
    </row>
    <row r="30" spans="2:4">
      <c r="B30" s="17">
        <f>アイスクリームの売り上げデータ!A30</f>
        <v>43493</v>
      </c>
      <c r="C30" s="22">
        <v>0</v>
      </c>
      <c r="D30" s="11">
        <f>アイスクリームの売り上げデータ!G30</f>
        <v>80</v>
      </c>
    </row>
    <row r="31" spans="2:4">
      <c r="B31" s="17">
        <f>アイスクリームの売り上げデータ!A31</f>
        <v>43494</v>
      </c>
      <c r="C31" s="22">
        <v>0</v>
      </c>
      <c r="D31" s="11">
        <f>アイスクリームの売り上げデータ!G31</f>
        <v>115</v>
      </c>
    </row>
    <row r="32" spans="2:4">
      <c r="B32" s="17">
        <f>アイスクリームの売り上げデータ!A32</f>
        <v>43495</v>
      </c>
      <c r="C32" s="22">
        <v>0</v>
      </c>
      <c r="D32" s="11">
        <f>アイスクリームの売り上げデータ!G32</f>
        <v>120</v>
      </c>
    </row>
    <row r="33" spans="2:4">
      <c r="B33" s="17">
        <f>アイスクリームの売り上げデータ!A33</f>
        <v>43496</v>
      </c>
      <c r="C33" s="22">
        <v>15.5</v>
      </c>
      <c r="D33" s="11">
        <f>アイスクリームの売り上げデータ!G33</f>
        <v>94</v>
      </c>
    </row>
    <row r="34" spans="2:4">
      <c r="B34" s="17">
        <f>アイスクリームの売り上げデータ!A34</f>
        <v>43497</v>
      </c>
      <c r="C34" s="22">
        <v>0</v>
      </c>
      <c r="D34" s="11">
        <f>アイスクリームの売り上げデータ!G34</f>
        <v>97</v>
      </c>
    </row>
    <row r="35" spans="2:4">
      <c r="B35" s="17">
        <f>アイスクリームの売り上げデータ!A35</f>
        <v>43498</v>
      </c>
      <c r="C35" s="22">
        <v>0</v>
      </c>
      <c r="D35" s="11">
        <f>アイスクリームの売り上げデータ!G35</f>
        <v>149</v>
      </c>
    </row>
    <row r="36" spans="2:4">
      <c r="B36" s="17">
        <f>アイスクリームの売り上げデータ!A36</f>
        <v>43499</v>
      </c>
      <c r="C36" s="22">
        <v>0</v>
      </c>
      <c r="D36" s="11">
        <f>アイスクリームの売り上げデータ!G36</f>
        <v>176</v>
      </c>
    </row>
    <row r="37" spans="2:4">
      <c r="B37" s="17">
        <f>アイスクリームの売り上げデータ!A37</f>
        <v>43500</v>
      </c>
      <c r="C37" s="22">
        <v>0</v>
      </c>
      <c r="D37" s="11">
        <f>アイスクリームの売り上げデータ!G37</f>
        <v>114</v>
      </c>
    </row>
    <row r="38" spans="2:4">
      <c r="B38" s="17">
        <f>アイスクリームの売り上げデータ!A38</f>
        <v>43501</v>
      </c>
      <c r="C38" s="22">
        <v>0</v>
      </c>
      <c r="D38" s="11">
        <f>アイスクリームの売り上げデータ!G38</f>
        <v>122</v>
      </c>
    </row>
    <row r="39" spans="2:4">
      <c r="B39" s="17">
        <f>アイスクリームの売り上げデータ!A39</f>
        <v>43502</v>
      </c>
      <c r="C39" s="22">
        <v>15</v>
      </c>
      <c r="D39" s="11">
        <f>アイスクリームの売り上げデータ!G39</f>
        <v>119</v>
      </c>
    </row>
    <row r="40" spans="2:4">
      <c r="B40" s="17">
        <f>アイスクリームの売り上げデータ!A40</f>
        <v>43503</v>
      </c>
      <c r="C40" s="22">
        <v>0</v>
      </c>
      <c r="D40" s="11">
        <f>アイスクリームの売り上げデータ!G40</f>
        <v>123</v>
      </c>
    </row>
    <row r="41" spans="2:4">
      <c r="B41" s="17">
        <f>アイスクリームの売り上げデータ!A41</f>
        <v>43504</v>
      </c>
      <c r="C41" s="22">
        <v>0</v>
      </c>
      <c r="D41" s="11">
        <f>アイスクリームの売り上げデータ!G41</f>
        <v>110</v>
      </c>
    </row>
    <row r="42" spans="2:4">
      <c r="B42" s="17">
        <f>アイスクリームの売り上げデータ!A42</f>
        <v>43505</v>
      </c>
      <c r="C42" s="22">
        <v>2</v>
      </c>
      <c r="D42" s="11">
        <f>アイスクリームの売り上げデータ!G42</f>
        <v>125</v>
      </c>
    </row>
    <row r="43" spans="2:4">
      <c r="B43" s="17">
        <f>アイスクリームの売り上げデータ!A43</f>
        <v>43506</v>
      </c>
      <c r="C43" s="22">
        <v>0</v>
      </c>
      <c r="D43" s="11">
        <f>アイスクリームの売り上げデータ!G43</f>
        <v>162</v>
      </c>
    </row>
    <row r="44" spans="2:4">
      <c r="B44" s="17">
        <f>アイスクリームの売り上げデータ!A44</f>
        <v>43507</v>
      </c>
      <c r="C44" s="22">
        <v>0</v>
      </c>
      <c r="D44" s="11">
        <f>アイスクリームの売り上げデータ!G44</f>
        <v>81</v>
      </c>
    </row>
    <row r="45" spans="2:4">
      <c r="B45" s="17">
        <f>アイスクリームの売り上げデータ!A45</f>
        <v>43508</v>
      </c>
      <c r="C45" s="22">
        <v>0</v>
      </c>
      <c r="D45" s="11">
        <f>アイスクリームの売り上げデータ!G45</f>
        <v>101</v>
      </c>
    </row>
    <row r="46" spans="2:4">
      <c r="B46" s="17">
        <f>アイスクリームの売り上げデータ!A46</f>
        <v>43509</v>
      </c>
      <c r="C46" s="22">
        <v>0</v>
      </c>
      <c r="D46" s="11">
        <f>アイスクリームの売り上げデータ!G46</f>
        <v>124</v>
      </c>
    </row>
    <row r="47" spans="2:4">
      <c r="B47" s="17">
        <f>アイスクリームの売り上げデータ!A47</f>
        <v>43510</v>
      </c>
      <c r="C47" s="22">
        <v>0</v>
      </c>
      <c r="D47" s="11">
        <f>アイスクリームの売り上げデータ!G47</f>
        <v>97</v>
      </c>
    </row>
    <row r="48" spans="2:4">
      <c r="B48" s="17">
        <f>アイスクリームの売り上げデータ!A48</f>
        <v>43511</v>
      </c>
      <c r="C48" s="22">
        <v>0</v>
      </c>
      <c r="D48" s="11">
        <f>アイスクリームの売り上げデータ!G48</f>
        <v>98</v>
      </c>
    </row>
    <row r="49" spans="2:4">
      <c r="B49" s="17">
        <f>アイスクリームの売り上げデータ!A49</f>
        <v>43512</v>
      </c>
      <c r="C49" s="22">
        <v>0</v>
      </c>
      <c r="D49" s="11">
        <f>アイスクリームの売り上げデータ!G49</f>
        <v>166</v>
      </c>
    </row>
    <row r="50" spans="2:4">
      <c r="B50" s="17">
        <f>アイスクリームの売り上げデータ!A50</f>
        <v>43513</v>
      </c>
      <c r="C50" s="22">
        <v>0</v>
      </c>
      <c r="D50" s="11">
        <f>アイスクリームの売り上げデータ!G50</f>
        <v>186</v>
      </c>
    </row>
    <row r="51" spans="2:4">
      <c r="B51" s="17">
        <f>アイスクリームの売り上げデータ!A51</f>
        <v>43514</v>
      </c>
      <c r="C51" s="22">
        <v>0</v>
      </c>
      <c r="D51" s="11">
        <f>アイスクリームの売り上げデータ!G51</f>
        <v>90</v>
      </c>
    </row>
    <row r="52" spans="2:4">
      <c r="B52" s="17">
        <f>アイスクリームの売り上げデータ!A52</f>
        <v>43515</v>
      </c>
      <c r="C52" s="22">
        <v>1.5</v>
      </c>
      <c r="D52" s="11">
        <f>アイスクリームの売り上げデータ!G52</f>
        <v>127</v>
      </c>
    </row>
    <row r="53" spans="2:4">
      <c r="B53" s="17">
        <f>アイスクリームの売り上げデータ!A53</f>
        <v>43516</v>
      </c>
      <c r="C53" s="22">
        <v>0.5</v>
      </c>
      <c r="D53" s="11">
        <f>アイスクリームの売り上げデータ!G53</f>
        <v>165</v>
      </c>
    </row>
    <row r="54" spans="2:4">
      <c r="B54" s="17">
        <f>アイスクリームの売り上げデータ!A54</f>
        <v>43517</v>
      </c>
      <c r="C54" s="22">
        <v>0</v>
      </c>
      <c r="D54" s="11">
        <f>アイスクリームの売り上げデータ!G54</f>
        <v>115</v>
      </c>
    </row>
    <row r="55" spans="2:4">
      <c r="B55" s="17">
        <f>アイスクリームの売り上げデータ!A55</f>
        <v>43518</v>
      </c>
      <c r="C55" s="22">
        <v>0</v>
      </c>
      <c r="D55" s="11">
        <f>アイスクリームの売り上げデータ!G55</f>
        <v>125</v>
      </c>
    </row>
    <row r="56" spans="2:4">
      <c r="B56" s="17">
        <f>アイスクリームの売り上げデータ!A56</f>
        <v>43519</v>
      </c>
      <c r="C56" s="22">
        <v>0</v>
      </c>
      <c r="D56" s="11">
        <f>アイスクリームの売り上げデータ!G56</f>
        <v>173</v>
      </c>
    </row>
    <row r="57" spans="2:4">
      <c r="B57" s="17">
        <f>アイスクリームの売り上げデータ!A57</f>
        <v>43520</v>
      </c>
      <c r="C57" s="22">
        <v>0</v>
      </c>
      <c r="D57" s="11">
        <f>アイスクリームの売り上げデータ!G57</f>
        <v>182</v>
      </c>
    </row>
    <row r="58" spans="2:4">
      <c r="B58" s="17">
        <f>アイスクリームの売り上げデータ!A58</f>
        <v>43521</v>
      </c>
      <c r="C58" s="22">
        <v>0</v>
      </c>
      <c r="D58" s="11">
        <f>アイスクリームの売り上げデータ!G58</f>
        <v>109</v>
      </c>
    </row>
    <row r="59" spans="2:4">
      <c r="B59" s="17">
        <f>アイスクリームの売り上げデータ!A59</f>
        <v>43522</v>
      </c>
      <c r="C59" s="22">
        <v>0</v>
      </c>
      <c r="D59" s="11">
        <f>アイスクリームの売り上げデータ!G59</f>
        <v>116</v>
      </c>
    </row>
    <row r="60" spans="2:4">
      <c r="B60" s="17">
        <f>アイスクリームの売り上げデータ!A60</f>
        <v>43523</v>
      </c>
      <c r="C60" s="22">
        <v>0.5</v>
      </c>
      <c r="D60" s="11">
        <f>アイスクリームの売り上げデータ!G60</f>
        <v>143</v>
      </c>
    </row>
    <row r="61" spans="2:4">
      <c r="B61" s="17">
        <f>アイスクリームの売り上げデータ!A61</f>
        <v>43524</v>
      </c>
      <c r="C61" s="22">
        <v>22.5</v>
      </c>
      <c r="D61" s="11">
        <f>アイスクリームの売り上げデータ!G61</f>
        <v>86</v>
      </c>
    </row>
    <row r="62" spans="2:4">
      <c r="B62" s="17">
        <f>アイスクリームの売り上げデータ!A62</f>
        <v>43525</v>
      </c>
      <c r="C62" s="22">
        <v>1.5</v>
      </c>
      <c r="D62" s="11">
        <f>アイスクリームの売り上げデータ!G62</f>
        <v>110</v>
      </c>
    </row>
    <row r="63" spans="2:4">
      <c r="B63" s="17">
        <f>アイスクリームの売り上げデータ!A63</f>
        <v>43526</v>
      </c>
      <c r="C63" s="22">
        <v>0</v>
      </c>
      <c r="D63" s="11">
        <f>アイスクリームの売り上げデータ!G63</f>
        <v>166</v>
      </c>
    </row>
    <row r="64" spans="2:4">
      <c r="B64" s="17">
        <f>アイスクリームの売り上げデータ!A64</f>
        <v>43527</v>
      </c>
      <c r="C64" s="22">
        <v>13.5</v>
      </c>
      <c r="D64" s="11">
        <f>アイスクリームの売り上げデータ!G64</f>
        <v>158</v>
      </c>
    </row>
    <row r="65" spans="2:4">
      <c r="B65" s="17">
        <f>アイスクリームの売り上げデータ!A65</f>
        <v>43528</v>
      </c>
      <c r="C65" s="22">
        <v>27.5</v>
      </c>
      <c r="D65" s="11">
        <f>アイスクリームの売り上げデータ!G65</f>
        <v>58</v>
      </c>
    </row>
    <row r="66" spans="2:4">
      <c r="B66" s="17">
        <f>アイスクリームの売り上げデータ!A66</f>
        <v>43529</v>
      </c>
      <c r="C66" s="22">
        <v>0.5</v>
      </c>
      <c r="D66" s="11">
        <f>アイスクリームの売り上げデータ!G66</f>
        <v>134</v>
      </c>
    </row>
    <row r="67" spans="2:4">
      <c r="B67" s="17">
        <f>アイスクリームの売り上げデータ!A67</f>
        <v>43530</v>
      </c>
      <c r="C67" s="22">
        <v>3</v>
      </c>
      <c r="D67" s="11">
        <f>アイスクリームの売り上げデータ!G67</f>
        <v>150</v>
      </c>
    </row>
    <row r="68" spans="2:4">
      <c r="B68" s="17">
        <f>アイスクリームの売り上げデータ!A68</f>
        <v>43531</v>
      </c>
      <c r="C68" s="22">
        <v>28</v>
      </c>
      <c r="D68" s="11">
        <f>アイスクリームの売り上げデータ!G68</f>
        <v>86</v>
      </c>
    </row>
    <row r="69" spans="2:4">
      <c r="B69" s="17">
        <f>アイスクリームの売り上げデータ!A69</f>
        <v>43532</v>
      </c>
      <c r="C69" s="22">
        <v>0</v>
      </c>
      <c r="D69" s="11">
        <f>アイスクリームの売り上げデータ!G69</f>
        <v>126</v>
      </c>
    </row>
    <row r="70" spans="2:4">
      <c r="B70" s="17">
        <f>アイスクリームの売り上げデータ!A70</f>
        <v>43533</v>
      </c>
      <c r="C70" s="22">
        <v>0</v>
      </c>
      <c r="D70" s="11">
        <f>アイスクリームの売り上げデータ!G70</f>
        <v>154</v>
      </c>
    </row>
    <row r="71" spans="2:4">
      <c r="B71" s="17">
        <f>アイスクリームの売り上げデータ!A71</f>
        <v>43534</v>
      </c>
      <c r="C71" s="22">
        <v>6.5</v>
      </c>
      <c r="D71" s="11">
        <f>アイスクリームの売り上げデータ!G71</f>
        <v>207</v>
      </c>
    </row>
    <row r="72" spans="2:4">
      <c r="B72" s="17">
        <f>アイスクリームの売り上げデータ!A72</f>
        <v>43535</v>
      </c>
      <c r="C72" s="22">
        <v>32</v>
      </c>
      <c r="D72" s="11">
        <f>アイスクリームの売り上げデータ!G72</f>
        <v>79</v>
      </c>
    </row>
    <row r="73" spans="2:4">
      <c r="B73" s="17">
        <f>アイスクリームの売り上げデータ!A73</f>
        <v>43536</v>
      </c>
      <c r="C73" s="22">
        <v>0</v>
      </c>
      <c r="D73" s="11">
        <f>アイスクリームの売り上げデータ!G73</f>
        <v>132</v>
      </c>
    </row>
    <row r="74" spans="2:4">
      <c r="B74" s="17">
        <f>アイスクリームの売り上げデータ!A74</f>
        <v>43537</v>
      </c>
      <c r="C74" s="22">
        <v>0</v>
      </c>
      <c r="D74" s="11">
        <f>アイスクリームの売り上げデータ!G74</f>
        <v>140</v>
      </c>
    </row>
    <row r="75" spans="2:4">
      <c r="B75" s="17">
        <f>アイスクリームの売り上げデータ!A75</f>
        <v>43538</v>
      </c>
      <c r="C75" s="22">
        <v>0</v>
      </c>
      <c r="D75" s="11">
        <f>アイスクリームの売り上げデータ!G75</f>
        <v>109</v>
      </c>
    </row>
    <row r="76" spans="2:4">
      <c r="B76" s="17">
        <f>アイスクリームの売り上げデータ!A76</f>
        <v>43539</v>
      </c>
      <c r="C76" s="22">
        <v>0</v>
      </c>
      <c r="D76" s="11">
        <f>アイスクリームの売り上げデータ!G76</f>
        <v>120</v>
      </c>
    </row>
    <row r="77" spans="2:4">
      <c r="B77" s="17">
        <f>アイスクリームの売り上げデータ!A77</f>
        <v>43540</v>
      </c>
      <c r="C77" s="22">
        <v>0</v>
      </c>
      <c r="D77" s="11">
        <f>アイスクリームの売り上げデータ!G77</f>
        <v>164</v>
      </c>
    </row>
    <row r="78" spans="2:4">
      <c r="B78" s="17">
        <f>アイスクリームの売り上げデータ!A78</f>
        <v>43541</v>
      </c>
      <c r="C78" s="22">
        <v>0</v>
      </c>
      <c r="D78" s="11">
        <f>アイスクリームの売り上げデータ!G78</f>
        <v>222</v>
      </c>
    </row>
    <row r="79" spans="2:4">
      <c r="B79" s="17">
        <f>アイスクリームの売り上げデータ!A79</f>
        <v>43542</v>
      </c>
      <c r="C79" s="22">
        <v>0</v>
      </c>
      <c r="D79" s="11">
        <f>アイスクリームの売り上げデータ!G79</f>
        <v>100</v>
      </c>
    </row>
    <row r="80" spans="2:4">
      <c r="B80" s="17">
        <f>アイスクリームの売り上げデータ!A80</f>
        <v>43543</v>
      </c>
      <c r="C80" s="22">
        <v>0</v>
      </c>
      <c r="D80" s="11">
        <f>アイスクリームの売り上げデータ!G80</f>
        <v>134</v>
      </c>
    </row>
    <row r="81" spans="2:4">
      <c r="B81" s="17">
        <f>アイスクリームの売り上げデータ!A81</f>
        <v>43544</v>
      </c>
      <c r="C81" s="22">
        <v>0</v>
      </c>
      <c r="D81" s="11">
        <f>アイスクリームの売り上げデータ!G81</f>
        <v>158</v>
      </c>
    </row>
    <row r="82" spans="2:4">
      <c r="B82" s="17">
        <f>アイスクリームの売り上げデータ!A82</f>
        <v>43545</v>
      </c>
      <c r="C82" s="22">
        <v>0</v>
      </c>
      <c r="D82" s="11">
        <f>アイスクリームの売り上げデータ!G82</f>
        <v>140</v>
      </c>
    </row>
    <row r="83" spans="2:4">
      <c r="B83" s="17">
        <f>アイスクリームの売り上げデータ!A83</f>
        <v>43546</v>
      </c>
      <c r="C83" s="22">
        <v>0</v>
      </c>
      <c r="D83" s="11">
        <f>アイスクリームの売り上げデータ!G83</f>
        <v>136</v>
      </c>
    </row>
    <row r="84" spans="2:4">
      <c r="B84" s="17">
        <f>アイスクリームの売り上げデータ!A84</f>
        <v>43547</v>
      </c>
      <c r="C84" s="22">
        <v>0</v>
      </c>
      <c r="D84" s="11">
        <f>アイスクリームの売り上げデータ!G84</f>
        <v>156</v>
      </c>
    </row>
    <row r="85" spans="2:4">
      <c r="B85" s="17">
        <f>アイスクリームの売り上げデータ!A85</f>
        <v>43548</v>
      </c>
      <c r="C85" s="22">
        <v>0</v>
      </c>
      <c r="D85" s="11">
        <f>アイスクリームの売り上げデータ!G85</f>
        <v>218</v>
      </c>
    </row>
    <row r="86" spans="2:4">
      <c r="B86" s="17">
        <f>アイスクリームの売り上げデータ!A86</f>
        <v>43549</v>
      </c>
      <c r="C86" s="22">
        <v>0</v>
      </c>
      <c r="D86" s="11">
        <f>アイスクリームの売り上げデータ!G86</f>
        <v>91</v>
      </c>
    </row>
    <row r="87" spans="2:4">
      <c r="B87" s="17">
        <f>アイスクリームの売り上げデータ!A87</f>
        <v>43550</v>
      </c>
      <c r="C87" s="22">
        <v>0</v>
      </c>
      <c r="D87" s="11">
        <f>アイスクリームの売り上げデータ!G87</f>
        <v>126</v>
      </c>
    </row>
    <row r="88" spans="2:4">
      <c r="B88" s="17">
        <f>アイスクリームの売り上げデータ!A88</f>
        <v>43551</v>
      </c>
      <c r="C88" s="22">
        <v>0</v>
      </c>
      <c r="D88" s="11">
        <f>アイスクリームの売り上げデータ!G88</f>
        <v>162</v>
      </c>
    </row>
    <row r="89" spans="2:4">
      <c r="B89" s="17">
        <f>アイスクリームの売り上げデータ!A89</f>
        <v>43552</v>
      </c>
      <c r="C89" s="22">
        <v>0</v>
      </c>
      <c r="D89" s="11">
        <f>アイスクリームの売り上げデータ!G89</f>
        <v>137</v>
      </c>
    </row>
    <row r="90" spans="2:4">
      <c r="B90" s="17">
        <f>アイスクリームの売り上げデータ!A90</f>
        <v>43553</v>
      </c>
      <c r="C90" s="22">
        <v>0</v>
      </c>
      <c r="D90" s="11">
        <f>アイスクリームの売り上げデータ!G90</f>
        <v>105</v>
      </c>
    </row>
    <row r="91" spans="2:4">
      <c r="B91" s="17">
        <f>アイスクリームの売り上げデータ!A91</f>
        <v>43554</v>
      </c>
      <c r="C91" s="22">
        <v>3.5</v>
      </c>
      <c r="D91" s="11">
        <f>アイスクリームの売り上げデータ!G91</f>
        <v>171</v>
      </c>
    </row>
    <row r="92" spans="2:4">
      <c r="B92" s="17">
        <f>アイスクリームの売り上げデータ!A92</f>
        <v>43555</v>
      </c>
      <c r="C92" s="22">
        <v>1.5</v>
      </c>
      <c r="D92" s="11">
        <f>アイスクリームの売り上げデータ!G92</f>
        <v>220</v>
      </c>
    </row>
    <row r="93" spans="2:4">
      <c r="B93" s="17">
        <f>アイスクリームの売り上げデータ!A93</f>
        <v>43556</v>
      </c>
      <c r="C93" s="22">
        <v>5.5</v>
      </c>
      <c r="D93" s="11">
        <f>アイスクリームの売り上げデータ!G93</f>
        <v>89</v>
      </c>
    </row>
    <row r="94" spans="2:4">
      <c r="B94" s="17">
        <f>アイスクリームの売り上げデータ!A94</f>
        <v>43557</v>
      </c>
      <c r="C94" s="22">
        <v>0</v>
      </c>
      <c r="D94" s="11">
        <f>アイスクリームの売り上げデータ!G94</f>
        <v>126</v>
      </c>
    </row>
    <row r="95" spans="2:4">
      <c r="B95" s="17">
        <f>アイスクリームの売り上げデータ!A95</f>
        <v>43558</v>
      </c>
      <c r="C95" s="22">
        <v>0</v>
      </c>
      <c r="D95" s="11">
        <f>アイスクリームの売り上げデータ!G95</f>
        <v>149</v>
      </c>
    </row>
    <row r="96" spans="2:4">
      <c r="B96" s="17">
        <f>アイスクリームの売り上げデータ!A96</f>
        <v>43559</v>
      </c>
      <c r="C96" s="22">
        <v>0</v>
      </c>
      <c r="D96" s="11">
        <f>アイスクリームの売り上げデータ!G96</f>
        <v>127</v>
      </c>
    </row>
    <row r="97" spans="2:4">
      <c r="B97" s="17">
        <f>アイスクリームの売り上げデータ!A97</f>
        <v>43560</v>
      </c>
      <c r="C97" s="22">
        <v>0</v>
      </c>
      <c r="D97" s="11">
        <f>アイスクリームの売り上げデータ!G97</f>
        <v>130</v>
      </c>
    </row>
    <row r="98" spans="2:4">
      <c r="B98" s="17">
        <f>アイスクリームの売り上げデータ!A98</f>
        <v>43561</v>
      </c>
      <c r="C98" s="22">
        <v>0</v>
      </c>
      <c r="D98" s="11">
        <f>アイスクリームの売り上げデータ!G98</f>
        <v>173</v>
      </c>
    </row>
    <row r="99" spans="2:4">
      <c r="B99" s="17">
        <f>アイスクリームの売り上げデータ!A99</f>
        <v>43562</v>
      </c>
      <c r="C99" s="22">
        <v>0</v>
      </c>
      <c r="D99" s="11">
        <f>アイスクリームの売り上げデータ!G99</f>
        <v>245</v>
      </c>
    </row>
    <row r="100" spans="2:4">
      <c r="B100" s="17">
        <f>アイスクリームの売り上げデータ!A100</f>
        <v>43563</v>
      </c>
      <c r="C100" s="22">
        <v>11</v>
      </c>
      <c r="D100" s="11">
        <f>アイスクリームの売り上げデータ!G100</f>
        <v>96</v>
      </c>
    </row>
    <row r="101" spans="2:4">
      <c r="B101" s="17">
        <f>アイスクリームの売り上げデータ!A101</f>
        <v>43564</v>
      </c>
      <c r="C101" s="22">
        <v>0</v>
      </c>
      <c r="D101" s="11">
        <f>アイスクリームの売り上げデータ!G101</f>
        <v>117</v>
      </c>
    </row>
    <row r="102" spans="2:4">
      <c r="B102" s="17">
        <f>アイスクリームの売り上げデータ!A102</f>
        <v>43565</v>
      </c>
      <c r="C102" s="22">
        <v>29.5</v>
      </c>
      <c r="D102" s="11">
        <f>アイスクリームの売り上げデータ!G102</f>
        <v>100</v>
      </c>
    </row>
    <row r="103" spans="2:4">
      <c r="B103" s="17">
        <f>アイスクリームの売り上げデータ!A103</f>
        <v>43566</v>
      </c>
      <c r="C103" s="22">
        <v>1.5</v>
      </c>
      <c r="D103" s="11">
        <f>アイスクリームの売り上げデータ!G103</f>
        <v>121</v>
      </c>
    </row>
    <row r="104" spans="2:4">
      <c r="B104" s="17">
        <f>アイスクリームの売り上げデータ!A104</f>
        <v>43567</v>
      </c>
      <c r="C104" s="22">
        <v>0</v>
      </c>
      <c r="D104" s="11">
        <f>アイスクリームの売り上げデータ!G104</f>
        <v>119</v>
      </c>
    </row>
    <row r="105" spans="2:4">
      <c r="B105" s="17">
        <f>アイスクリームの売り上げデータ!A105</f>
        <v>43568</v>
      </c>
      <c r="C105" s="22">
        <v>0</v>
      </c>
      <c r="D105" s="11">
        <f>アイスクリームの売り上げデータ!G105</f>
        <v>193</v>
      </c>
    </row>
    <row r="106" spans="2:4">
      <c r="B106" s="17">
        <f>アイスクリームの売り上げデータ!A106</f>
        <v>43569</v>
      </c>
      <c r="C106" s="22">
        <v>0</v>
      </c>
      <c r="D106" s="11">
        <f>アイスクリームの売り上げデータ!G106</f>
        <v>202</v>
      </c>
    </row>
    <row r="107" spans="2:4">
      <c r="B107" s="17">
        <f>アイスクリームの売り上げデータ!A107</f>
        <v>43570</v>
      </c>
      <c r="C107" s="22">
        <v>5</v>
      </c>
      <c r="D107" s="11">
        <f>アイスクリームの売り上げデータ!G107</f>
        <v>114</v>
      </c>
    </row>
    <row r="108" spans="2:4">
      <c r="B108" s="17">
        <f>アイスクリームの売り上げデータ!A108</f>
        <v>43571</v>
      </c>
      <c r="C108" s="22">
        <v>0</v>
      </c>
      <c r="D108" s="11">
        <f>アイスクリームの売り上げデータ!G108</f>
        <v>146</v>
      </c>
    </row>
    <row r="109" spans="2:4">
      <c r="B109" s="17">
        <f>アイスクリームの売り上げデータ!A109</f>
        <v>43572</v>
      </c>
      <c r="C109" s="22">
        <v>0</v>
      </c>
      <c r="D109" s="11">
        <f>アイスクリームの売り上げデータ!G109</f>
        <v>165</v>
      </c>
    </row>
    <row r="110" spans="2:4">
      <c r="B110" s="17">
        <f>アイスクリームの売り上げデータ!A110</f>
        <v>43573</v>
      </c>
      <c r="C110" s="22">
        <v>0</v>
      </c>
      <c r="D110" s="11">
        <f>アイスクリームの売り上げデータ!G110</f>
        <v>141</v>
      </c>
    </row>
    <row r="111" spans="2:4">
      <c r="B111" s="17">
        <f>アイスクリームの売り上げデータ!A111</f>
        <v>43574</v>
      </c>
      <c r="C111" s="22">
        <v>0</v>
      </c>
      <c r="D111" s="11">
        <f>アイスクリームの売り上げデータ!G111</f>
        <v>161</v>
      </c>
    </row>
    <row r="112" spans="2:4">
      <c r="B112" s="17">
        <f>アイスクリームの売り上げデータ!A112</f>
        <v>43575</v>
      </c>
      <c r="C112" s="22">
        <v>0</v>
      </c>
      <c r="D112" s="11">
        <f>アイスクリームの売り上げデータ!G112</f>
        <v>202</v>
      </c>
    </row>
    <row r="113" spans="2:4">
      <c r="B113" s="17">
        <f>アイスクリームの売り上げデータ!A113</f>
        <v>43576</v>
      </c>
      <c r="C113" s="22">
        <v>0</v>
      </c>
      <c r="D113" s="11">
        <f>アイスクリームの売り上げデータ!G113</f>
        <v>235</v>
      </c>
    </row>
    <row r="114" spans="2:4">
      <c r="B114" s="17">
        <f>アイスクリームの売り上げデータ!A114</f>
        <v>43577</v>
      </c>
      <c r="C114" s="22">
        <v>0</v>
      </c>
      <c r="D114" s="11">
        <f>アイスクリームの売り上げデータ!G114</f>
        <v>131</v>
      </c>
    </row>
    <row r="115" spans="2:4">
      <c r="B115" s="17">
        <f>アイスクリームの売り上げデータ!A115</f>
        <v>43578</v>
      </c>
      <c r="C115" s="22">
        <v>0</v>
      </c>
      <c r="D115" s="11">
        <f>アイスクリームの売り上げデータ!G115</f>
        <v>162</v>
      </c>
    </row>
    <row r="116" spans="2:4">
      <c r="B116" s="17">
        <f>アイスクリームの売り上げデータ!A116</f>
        <v>43579</v>
      </c>
      <c r="C116" s="22">
        <v>3</v>
      </c>
      <c r="D116" s="11">
        <f>アイスクリームの売り上げデータ!G116</f>
        <v>177</v>
      </c>
    </row>
    <row r="117" spans="2:4">
      <c r="B117" s="17">
        <f>アイスクリームの売り上げデータ!A117</f>
        <v>43580</v>
      </c>
      <c r="C117" s="22">
        <v>4</v>
      </c>
      <c r="D117" s="11">
        <f>アイスクリームの売り上げデータ!G117</f>
        <v>155</v>
      </c>
    </row>
    <row r="118" spans="2:4">
      <c r="B118" s="17">
        <f>アイスクリームの売り上げデータ!A118</f>
        <v>43581</v>
      </c>
      <c r="C118" s="22">
        <v>4.5</v>
      </c>
      <c r="D118" s="11">
        <f>アイスクリームの売り上げデータ!G118</f>
        <v>131</v>
      </c>
    </row>
    <row r="119" spans="2:4">
      <c r="B119" s="17">
        <f>アイスクリームの売り上げデータ!A119</f>
        <v>43582</v>
      </c>
      <c r="C119" s="22">
        <v>6.5</v>
      </c>
      <c r="D119" s="11">
        <f>アイスクリームの売り上げデータ!G119</f>
        <v>157</v>
      </c>
    </row>
    <row r="120" spans="2:4">
      <c r="B120" s="17">
        <f>アイスクリームの売り上げデータ!A120</f>
        <v>43583</v>
      </c>
      <c r="C120" s="22">
        <v>0</v>
      </c>
      <c r="D120" s="11">
        <f>アイスクリームの売り上げデータ!G120</f>
        <v>224</v>
      </c>
    </row>
    <row r="121" spans="2:4">
      <c r="B121" s="17">
        <f>アイスクリームの売り上げデータ!A121</f>
        <v>43584</v>
      </c>
      <c r="C121" s="22">
        <v>0</v>
      </c>
      <c r="D121" s="11">
        <f>アイスクリームの売り上げデータ!G121</f>
        <v>126</v>
      </c>
    </row>
    <row r="122" spans="2:4">
      <c r="B122" s="17">
        <f>アイスクリームの売り上げデータ!A122</f>
        <v>43585</v>
      </c>
      <c r="C122" s="22">
        <v>20</v>
      </c>
      <c r="D122" s="11">
        <f>アイスクリームの売り上げデータ!G122</f>
        <v>123</v>
      </c>
    </row>
    <row r="123" spans="2:4">
      <c r="B123" s="17">
        <f>アイスクリームの売り上げデータ!A123</f>
        <v>43586</v>
      </c>
      <c r="C123" s="22">
        <v>26</v>
      </c>
      <c r="D123" s="11">
        <f>アイスクリームの売り上げデータ!G123</f>
        <v>147</v>
      </c>
    </row>
    <row r="124" spans="2:4">
      <c r="B124" s="17">
        <f>アイスクリームの売り上げデータ!A124</f>
        <v>43587</v>
      </c>
      <c r="C124" s="22">
        <v>3.5</v>
      </c>
      <c r="D124" s="11">
        <f>アイスクリームの売り上げデータ!G124</f>
        <v>157</v>
      </c>
    </row>
    <row r="125" spans="2:4">
      <c r="B125" s="17">
        <f>アイスクリームの売り上げデータ!A125</f>
        <v>43588</v>
      </c>
      <c r="C125" s="22">
        <v>0</v>
      </c>
      <c r="D125" s="11">
        <f>アイスクリームの売り上げデータ!G125</f>
        <v>148</v>
      </c>
    </row>
    <row r="126" spans="2:4">
      <c r="B126" s="17">
        <f>アイスクリームの売り上げデータ!A126</f>
        <v>43589</v>
      </c>
      <c r="C126" s="22">
        <v>0</v>
      </c>
      <c r="D126" s="11">
        <f>アイスクリームの売り上げデータ!G126</f>
        <v>216</v>
      </c>
    </row>
    <row r="127" spans="2:4">
      <c r="B127" s="17">
        <f>アイスクリームの売り上げデータ!A127</f>
        <v>43590</v>
      </c>
      <c r="C127" s="22">
        <v>0</v>
      </c>
      <c r="D127" s="11">
        <f>アイスクリームの売り上げデータ!G127</f>
        <v>218</v>
      </c>
    </row>
    <row r="128" spans="2:4">
      <c r="B128" s="17">
        <f>アイスクリームの売り上げデータ!A128</f>
        <v>43591</v>
      </c>
      <c r="C128" s="22">
        <v>0</v>
      </c>
      <c r="D128" s="11">
        <f>アイスクリームの売り上げデータ!G128</f>
        <v>124</v>
      </c>
    </row>
    <row r="129" spans="2:4">
      <c r="B129" s="17">
        <f>アイスクリームの売り上げデータ!A129</f>
        <v>43592</v>
      </c>
      <c r="C129" s="22">
        <v>0</v>
      </c>
      <c r="D129" s="11">
        <f>アイスクリームの売り上げデータ!G129</f>
        <v>135</v>
      </c>
    </row>
    <row r="130" spans="2:4">
      <c r="B130" s="17">
        <f>アイスクリームの売り上げデータ!A130</f>
        <v>43593</v>
      </c>
      <c r="C130" s="22">
        <v>0</v>
      </c>
      <c r="D130" s="11">
        <f>アイスクリームの売り上げデータ!G130</f>
        <v>178</v>
      </c>
    </row>
    <row r="131" spans="2:4">
      <c r="B131" s="17">
        <f>アイスクリームの売り上げデータ!A131</f>
        <v>43594</v>
      </c>
      <c r="C131" s="22">
        <v>0</v>
      </c>
      <c r="D131" s="11">
        <f>アイスクリームの売り上げデータ!G131</f>
        <v>163</v>
      </c>
    </row>
    <row r="132" spans="2:4">
      <c r="B132" s="17">
        <f>アイスクリームの売り上げデータ!A132</f>
        <v>43595</v>
      </c>
      <c r="C132" s="22">
        <v>0</v>
      </c>
      <c r="D132" s="11">
        <f>アイスクリームの売り上げデータ!G132</f>
        <v>155</v>
      </c>
    </row>
    <row r="133" spans="2:4">
      <c r="B133" s="17">
        <f>アイスクリームの売り上げデータ!A133</f>
        <v>43596</v>
      </c>
      <c r="C133" s="22">
        <v>0</v>
      </c>
      <c r="D133" s="11">
        <f>アイスクリームの売り上げデータ!G133</f>
        <v>217</v>
      </c>
    </row>
    <row r="134" spans="2:4">
      <c r="B134" s="17">
        <f>アイスクリームの売り上げデータ!A134</f>
        <v>43597</v>
      </c>
      <c r="C134" s="22">
        <v>0</v>
      </c>
      <c r="D134" s="11">
        <f>アイスクリームの売り上げデータ!G134</f>
        <v>236</v>
      </c>
    </row>
    <row r="135" spans="2:4">
      <c r="B135" s="17">
        <f>アイスクリームの売り上げデータ!A135</f>
        <v>43598</v>
      </c>
      <c r="C135" s="22">
        <v>0</v>
      </c>
      <c r="D135" s="11">
        <f>アイスクリームの売り上げデータ!G135</f>
        <v>127</v>
      </c>
    </row>
    <row r="136" spans="2:4">
      <c r="B136" s="17">
        <f>アイスクリームの売り上げデータ!A136</f>
        <v>43599</v>
      </c>
      <c r="C136" s="22">
        <v>0.5</v>
      </c>
      <c r="D136" s="11">
        <f>アイスクリームの売り上げデータ!G136</f>
        <v>139</v>
      </c>
    </row>
    <row r="137" spans="2:4">
      <c r="B137" s="17">
        <f>アイスクリームの売り上げデータ!A137</f>
        <v>43600</v>
      </c>
      <c r="C137" s="22">
        <v>0</v>
      </c>
      <c r="D137" s="11">
        <f>アイスクリームの売り上げデータ!G137</f>
        <v>181</v>
      </c>
    </row>
    <row r="138" spans="2:4">
      <c r="B138" s="17">
        <f>アイスクリームの売り上げデータ!A138</f>
        <v>43601</v>
      </c>
      <c r="C138" s="22">
        <v>0</v>
      </c>
      <c r="D138" s="11">
        <f>アイスクリームの売り上げデータ!G138</f>
        <v>159</v>
      </c>
    </row>
    <row r="139" spans="2:4">
      <c r="B139" s="17">
        <f>アイスクリームの売り上げデータ!A139</f>
        <v>43602</v>
      </c>
      <c r="C139" s="22">
        <v>0</v>
      </c>
      <c r="D139" s="11">
        <f>アイスクリームの売り上げデータ!G139</f>
        <v>162</v>
      </c>
    </row>
    <row r="140" spans="2:4">
      <c r="B140" s="17">
        <f>アイスクリームの売り上げデータ!A140</f>
        <v>43603</v>
      </c>
      <c r="C140" s="22">
        <v>0</v>
      </c>
      <c r="D140" s="11">
        <f>アイスクリームの売り上げデータ!G140</f>
        <v>194</v>
      </c>
    </row>
    <row r="141" spans="2:4">
      <c r="B141" s="17">
        <f>アイスクリームの売り上げデータ!A141</f>
        <v>43604</v>
      </c>
      <c r="C141" s="22">
        <v>0</v>
      </c>
      <c r="D141" s="11">
        <f>アイスクリームの売り上げデータ!G141</f>
        <v>240</v>
      </c>
    </row>
    <row r="142" spans="2:4">
      <c r="B142" s="17">
        <f>アイスクリームの売り上げデータ!A142</f>
        <v>43605</v>
      </c>
      <c r="C142" s="22">
        <v>0</v>
      </c>
      <c r="D142" s="11">
        <f>アイスクリームの売り上げデータ!G142</f>
        <v>134</v>
      </c>
    </row>
    <row r="143" spans="2:4">
      <c r="B143" s="17">
        <f>アイスクリームの売り上げデータ!A143</f>
        <v>43606</v>
      </c>
      <c r="C143" s="22">
        <v>82</v>
      </c>
      <c r="D143" s="11">
        <f>アイスクリームの売り上げデータ!G143</f>
        <v>69</v>
      </c>
    </row>
    <row r="144" spans="2:4">
      <c r="B144" s="17">
        <f>アイスクリームの売り上げデータ!A144</f>
        <v>43607</v>
      </c>
      <c r="C144" s="22">
        <v>0</v>
      </c>
      <c r="D144" s="11">
        <f>アイスクリームの売り上げデータ!G144</f>
        <v>183</v>
      </c>
    </row>
    <row r="145" spans="2:4">
      <c r="B145" s="17">
        <f>アイスクリームの売り上げデータ!A145</f>
        <v>43608</v>
      </c>
      <c r="C145" s="22">
        <v>0</v>
      </c>
      <c r="D145" s="11">
        <f>アイスクリームの売り上げデータ!G145</f>
        <v>151</v>
      </c>
    </row>
    <row r="146" spans="2:4">
      <c r="B146" s="17">
        <f>アイスクリームの売り上げデータ!A146</f>
        <v>43609</v>
      </c>
      <c r="C146" s="22">
        <v>0</v>
      </c>
      <c r="D146" s="11">
        <f>アイスクリームの売り上げデータ!G146</f>
        <v>172</v>
      </c>
    </row>
    <row r="147" spans="2:4">
      <c r="B147" s="17">
        <f>アイスクリームの売り上げデータ!A147</f>
        <v>43610</v>
      </c>
      <c r="C147" s="22">
        <v>0</v>
      </c>
      <c r="D147" s="11">
        <f>アイスクリームの売り上げデータ!G147</f>
        <v>231</v>
      </c>
    </row>
    <row r="148" spans="2:4">
      <c r="B148" s="17">
        <f>アイスクリームの売り上げデータ!A148</f>
        <v>43611</v>
      </c>
      <c r="C148" s="22">
        <v>0</v>
      </c>
      <c r="D148" s="11">
        <f>アイスクリームの売り上げデータ!G148</f>
        <v>248</v>
      </c>
    </row>
    <row r="149" spans="2:4">
      <c r="B149" s="17">
        <f>アイスクリームの売り上げデータ!A149</f>
        <v>43612</v>
      </c>
      <c r="C149" s="22">
        <v>0</v>
      </c>
      <c r="D149" s="11">
        <f>アイスクリームの売り上げデータ!G149</f>
        <v>149</v>
      </c>
    </row>
    <row r="150" spans="2:4">
      <c r="B150" s="17">
        <f>アイスクリームの売り上げデータ!A150</f>
        <v>43613</v>
      </c>
      <c r="C150" s="22">
        <v>1</v>
      </c>
      <c r="D150" s="11">
        <f>アイスクリームの売り上げデータ!G150</f>
        <v>168</v>
      </c>
    </row>
    <row r="151" spans="2:4">
      <c r="B151" s="17">
        <f>アイスクリームの売り上げデータ!A151</f>
        <v>43614</v>
      </c>
      <c r="C151" s="22">
        <v>7.5</v>
      </c>
      <c r="D151" s="11">
        <f>アイスクリームの売り上げデータ!G151</f>
        <v>174</v>
      </c>
    </row>
    <row r="152" spans="2:4">
      <c r="B152" s="17">
        <f>アイスクリームの売り上げデータ!A152</f>
        <v>43615</v>
      </c>
      <c r="C152" s="22">
        <v>0</v>
      </c>
      <c r="D152" s="11">
        <f>アイスクリームの売り上げデータ!G152</f>
        <v>164</v>
      </c>
    </row>
    <row r="153" spans="2:4">
      <c r="B153" s="17">
        <f>アイスクリームの売り上げデータ!A153</f>
        <v>43616</v>
      </c>
      <c r="C153" s="22">
        <v>0</v>
      </c>
      <c r="D153" s="11">
        <f>アイスクリームの売り上げデータ!G153</f>
        <v>175</v>
      </c>
    </row>
    <row r="154" spans="2:4">
      <c r="B154" s="17">
        <f>アイスクリームの売り上げデータ!A154</f>
        <v>43617</v>
      </c>
      <c r="C154" s="22">
        <v>0</v>
      </c>
      <c r="D154" s="11">
        <f>アイスクリームの売り上げデータ!G154</f>
        <v>207</v>
      </c>
    </row>
    <row r="155" spans="2:4">
      <c r="B155" s="17">
        <f>アイスクリームの売り上げデータ!A155</f>
        <v>43618</v>
      </c>
      <c r="C155" s="22">
        <v>0</v>
      </c>
      <c r="D155" s="11">
        <f>アイスクリームの売り上げデータ!G155</f>
        <v>227</v>
      </c>
    </row>
    <row r="156" spans="2:4">
      <c r="B156" s="17">
        <f>アイスクリームの売り上げデータ!A156</f>
        <v>43619</v>
      </c>
      <c r="C156" s="22">
        <v>0</v>
      </c>
      <c r="D156" s="11">
        <f>アイスクリームの売り上げデータ!G156</f>
        <v>140</v>
      </c>
    </row>
    <row r="157" spans="2:4">
      <c r="B157" s="17">
        <f>アイスクリームの売り上げデータ!A157</f>
        <v>43620</v>
      </c>
      <c r="C157" s="22">
        <v>0</v>
      </c>
      <c r="D157" s="11">
        <f>アイスクリームの売り上げデータ!G157</f>
        <v>168</v>
      </c>
    </row>
    <row r="158" spans="2:4">
      <c r="B158" s="17">
        <f>アイスクリームの売り上げデータ!A158</f>
        <v>43621</v>
      </c>
      <c r="C158" s="22">
        <v>0</v>
      </c>
      <c r="D158" s="11">
        <f>アイスクリームの売り上げデータ!G158</f>
        <v>178</v>
      </c>
    </row>
    <row r="159" spans="2:4">
      <c r="B159" s="17">
        <f>アイスクリームの売り上げデータ!A159</f>
        <v>43622</v>
      </c>
      <c r="C159" s="22">
        <v>0</v>
      </c>
      <c r="D159" s="11">
        <f>アイスクリームの売り上げデータ!G159</f>
        <v>167</v>
      </c>
    </row>
    <row r="160" spans="2:4">
      <c r="B160" s="17">
        <f>アイスクリームの売り上げデータ!A160</f>
        <v>43623</v>
      </c>
      <c r="C160" s="22">
        <v>19.5</v>
      </c>
      <c r="D160" s="11">
        <f>アイスクリームの売り上げデータ!G160</f>
        <v>137</v>
      </c>
    </row>
    <row r="161" spans="2:4">
      <c r="B161" s="17">
        <f>アイスクリームの売り上げデータ!A161</f>
        <v>43624</v>
      </c>
      <c r="C161" s="22">
        <v>0</v>
      </c>
      <c r="D161" s="11">
        <f>アイスクリームの売り上げデータ!G161</f>
        <v>215</v>
      </c>
    </row>
    <row r="162" spans="2:4">
      <c r="B162" s="17">
        <f>アイスクリームの売り上げデータ!A162</f>
        <v>43625</v>
      </c>
      <c r="C162" s="22">
        <v>10</v>
      </c>
      <c r="D162" s="11">
        <f>アイスクリームの売り上げデータ!G162</f>
        <v>212</v>
      </c>
    </row>
    <row r="163" spans="2:4">
      <c r="B163" s="17">
        <f>アイスクリームの売り上げデータ!A163</f>
        <v>43626</v>
      </c>
      <c r="C163" s="22">
        <v>92.5</v>
      </c>
      <c r="D163" s="11">
        <f>アイスクリームの売り上げデータ!G163</f>
        <v>31</v>
      </c>
    </row>
    <row r="164" spans="2:4">
      <c r="B164" s="17">
        <f>アイスクリームの売り上げデータ!A164</f>
        <v>43627</v>
      </c>
      <c r="C164" s="22">
        <v>1</v>
      </c>
      <c r="D164" s="11">
        <f>アイスクリームの売り上げデータ!G164</f>
        <v>155</v>
      </c>
    </row>
    <row r="165" spans="2:4">
      <c r="B165" s="17">
        <f>アイスクリームの売り上げデータ!A165</f>
        <v>43628</v>
      </c>
      <c r="C165" s="22">
        <v>0.5</v>
      </c>
      <c r="D165" s="11">
        <f>アイスクリームの売り上げデータ!G165</f>
        <v>160</v>
      </c>
    </row>
    <row r="166" spans="2:4">
      <c r="B166" s="17">
        <f>アイスクリームの売り上げデータ!A166</f>
        <v>43629</v>
      </c>
      <c r="C166" s="22">
        <v>0</v>
      </c>
      <c r="D166" s="11">
        <f>アイスクリームの売り上げデータ!G166</f>
        <v>151</v>
      </c>
    </row>
    <row r="167" spans="2:4">
      <c r="B167" s="17">
        <f>アイスクリームの売り上げデータ!A167</f>
        <v>43630</v>
      </c>
      <c r="C167" s="22">
        <v>0</v>
      </c>
      <c r="D167" s="11">
        <f>アイスクリームの売り上げデータ!G167</f>
        <v>176</v>
      </c>
    </row>
    <row r="168" spans="2:4">
      <c r="B168" s="17">
        <f>アイスクリームの売り上げデータ!A168</f>
        <v>43631</v>
      </c>
      <c r="C168" s="22">
        <v>51</v>
      </c>
      <c r="D168" s="11">
        <f>アイスクリームの売り上げデータ!G168</f>
        <v>144</v>
      </c>
    </row>
    <row r="169" spans="2:4">
      <c r="B169" s="17">
        <f>アイスクリームの売り上げデータ!A169</f>
        <v>43632</v>
      </c>
      <c r="C169" s="22">
        <v>5</v>
      </c>
      <c r="D169" s="11">
        <f>アイスクリームの売り上げデータ!G169</f>
        <v>234</v>
      </c>
    </row>
    <row r="170" spans="2:4">
      <c r="B170" s="17">
        <f>アイスクリームの売り上げデータ!A170</f>
        <v>43633</v>
      </c>
      <c r="C170" s="22">
        <v>0</v>
      </c>
      <c r="D170" s="11">
        <f>アイスクリームの売り上げデータ!G170</f>
        <v>155</v>
      </c>
    </row>
    <row r="171" spans="2:4">
      <c r="B171" s="17">
        <f>アイスクリームの売り上げデータ!A171</f>
        <v>43634</v>
      </c>
      <c r="C171" s="22">
        <v>0</v>
      </c>
      <c r="D171" s="11">
        <f>アイスクリームの売り上げデータ!G171</f>
        <v>181</v>
      </c>
    </row>
    <row r="172" spans="2:4">
      <c r="B172" s="17">
        <f>アイスクリームの売り上げデータ!A172</f>
        <v>43635</v>
      </c>
      <c r="C172" s="22">
        <v>0</v>
      </c>
      <c r="D172" s="11">
        <f>アイスクリームの売り上げデータ!G172</f>
        <v>190</v>
      </c>
    </row>
    <row r="173" spans="2:4">
      <c r="B173" s="17">
        <f>アイスクリームの売り上げデータ!A173</f>
        <v>43636</v>
      </c>
      <c r="C173" s="22">
        <v>0</v>
      </c>
      <c r="D173" s="11">
        <f>アイスクリームの売り上げデータ!G173</f>
        <v>183</v>
      </c>
    </row>
    <row r="174" spans="2:4">
      <c r="B174" s="17">
        <f>アイスクリームの売り上げデータ!A174</f>
        <v>43637</v>
      </c>
      <c r="C174" s="22">
        <v>0</v>
      </c>
      <c r="D174" s="11">
        <f>アイスクリームの売り上げデータ!G174</f>
        <v>184</v>
      </c>
    </row>
    <row r="175" spans="2:4">
      <c r="B175" s="17">
        <f>アイスクリームの売り上げデータ!A175</f>
        <v>43638</v>
      </c>
      <c r="C175" s="22">
        <v>6</v>
      </c>
      <c r="D175" s="11">
        <f>アイスクリームの売り上げデータ!G175</f>
        <v>219</v>
      </c>
    </row>
    <row r="176" spans="2:4">
      <c r="B176" s="17">
        <f>アイスクリームの売り上げデータ!A176</f>
        <v>43639</v>
      </c>
      <c r="C176" s="22">
        <v>0</v>
      </c>
      <c r="D176" s="11">
        <f>アイスクリームの売り上げデータ!G176</f>
        <v>245</v>
      </c>
    </row>
    <row r="177" spans="2:4">
      <c r="B177" s="17">
        <f>アイスクリームの売り上げデータ!A177</f>
        <v>43640</v>
      </c>
      <c r="C177" s="22">
        <v>25.5</v>
      </c>
      <c r="D177" s="11">
        <f>アイスクリームの売り上げデータ!G177</f>
        <v>102</v>
      </c>
    </row>
    <row r="178" spans="2:4">
      <c r="B178" s="17">
        <f>アイスクリームの売り上げデータ!A178</f>
        <v>43641</v>
      </c>
      <c r="C178" s="22">
        <v>0</v>
      </c>
      <c r="D178" s="11">
        <f>アイスクリームの売り上げデータ!G178</f>
        <v>157</v>
      </c>
    </row>
    <row r="179" spans="2:4">
      <c r="B179" s="17">
        <f>アイスクリームの売り上げデータ!A179</f>
        <v>43642</v>
      </c>
      <c r="C179" s="22">
        <v>0</v>
      </c>
      <c r="D179" s="11">
        <f>アイスクリームの売り上げデータ!G179</f>
        <v>191</v>
      </c>
    </row>
    <row r="180" spans="2:4">
      <c r="B180" s="17">
        <f>アイスクリームの売り上げデータ!A180</f>
        <v>43643</v>
      </c>
      <c r="C180" s="22">
        <v>2</v>
      </c>
      <c r="D180" s="11">
        <f>アイスクリームの売り上げデータ!G180</f>
        <v>169</v>
      </c>
    </row>
    <row r="181" spans="2:4">
      <c r="B181" s="17">
        <f>アイスクリームの売り上げデータ!A181</f>
        <v>43644</v>
      </c>
      <c r="C181" s="22">
        <v>3.5</v>
      </c>
      <c r="D181" s="11">
        <f>アイスクリームの売り上げデータ!G181</f>
        <v>183</v>
      </c>
    </row>
    <row r="182" spans="2:4">
      <c r="B182" s="17">
        <f>アイスクリームの売り上げデータ!A182</f>
        <v>43645</v>
      </c>
      <c r="C182" s="22">
        <v>3</v>
      </c>
      <c r="D182" s="11">
        <f>アイスクリームの売り上げデータ!G182</f>
        <v>203</v>
      </c>
    </row>
    <row r="183" spans="2:4">
      <c r="B183" s="17">
        <f>アイスクリームの売り上げデータ!A183</f>
        <v>43646</v>
      </c>
      <c r="C183" s="22">
        <v>5.5</v>
      </c>
      <c r="D183" s="11">
        <f>アイスクリームの売り上げデータ!G183</f>
        <v>240</v>
      </c>
    </row>
    <row r="184" spans="2:4">
      <c r="B184" s="17">
        <f>アイスクリームの売り上げデータ!A184</f>
        <v>43647</v>
      </c>
      <c r="C184" s="22">
        <v>1.5</v>
      </c>
      <c r="D184" s="11">
        <f>アイスクリームの売り上げデータ!G184</f>
        <v>135</v>
      </c>
    </row>
    <row r="185" spans="2:4">
      <c r="B185" s="17">
        <f>アイスクリームの売り上げデータ!A185</f>
        <v>43648</v>
      </c>
      <c r="C185" s="22">
        <v>0.5</v>
      </c>
      <c r="D185" s="11">
        <f>アイスクリームの売り上げデータ!G185</f>
        <v>185</v>
      </c>
    </row>
    <row r="186" spans="2:4">
      <c r="B186" s="17">
        <f>アイスクリームの売り上げデータ!A186</f>
        <v>43649</v>
      </c>
      <c r="C186" s="22">
        <v>1</v>
      </c>
      <c r="D186" s="11">
        <f>アイスクリームの売り上げデータ!G186</f>
        <v>204</v>
      </c>
    </row>
    <row r="187" spans="2:4">
      <c r="B187" s="17">
        <f>アイスクリームの売り上げデータ!A187</f>
        <v>43650</v>
      </c>
      <c r="C187" s="22">
        <v>10.5</v>
      </c>
      <c r="D187" s="11">
        <f>アイスクリームの売り上げデータ!G187</f>
        <v>167</v>
      </c>
    </row>
    <row r="188" spans="2:4">
      <c r="B188" s="17">
        <f>アイスクリームの売り上げデータ!A188</f>
        <v>43651</v>
      </c>
      <c r="C188" s="22">
        <v>4.5</v>
      </c>
      <c r="D188" s="11">
        <f>アイスクリームの売り上げデータ!G188</f>
        <v>160</v>
      </c>
    </row>
    <row r="189" spans="2:4">
      <c r="B189" s="17">
        <f>アイスクリームの売り上げデータ!A189</f>
        <v>43652</v>
      </c>
      <c r="C189" s="22">
        <v>14.5</v>
      </c>
      <c r="D189" s="11">
        <f>アイスクリームの売り上げデータ!G189</f>
        <v>194</v>
      </c>
    </row>
    <row r="190" spans="2:4">
      <c r="B190" s="17">
        <f>アイスクリームの売り上げデータ!A190</f>
        <v>43653</v>
      </c>
      <c r="C190" s="22">
        <v>22.5</v>
      </c>
      <c r="D190" s="11">
        <f>アイスクリームの売り上げデータ!G190</f>
        <v>214</v>
      </c>
    </row>
    <row r="191" spans="2:4">
      <c r="B191" s="17">
        <f>アイスクリームの売り上げデータ!A191</f>
        <v>43654</v>
      </c>
      <c r="C191" s="22">
        <v>0</v>
      </c>
      <c r="D191" s="11">
        <f>アイスクリームの売り上げデータ!G191</f>
        <v>146</v>
      </c>
    </row>
    <row r="192" spans="2:4">
      <c r="B192" s="17">
        <f>アイスクリームの売り上げデータ!A192</f>
        <v>43655</v>
      </c>
      <c r="C192" s="22">
        <v>0</v>
      </c>
      <c r="D192" s="11">
        <f>アイスクリームの売り上げデータ!G192</f>
        <v>165</v>
      </c>
    </row>
    <row r="193" spans="2:4">
      <c r="B193" s="17">
        <f>アイスクリームの売り上げデータ!A193</f>
        <v>43656</v>
      </c>
      <c r="C193" s="22">
        <v>0</v>
      </c>
      <c r="D193" s="11">
        <f>アイスクリームの売り上げデータ!G193</f>
        <v>197</v>
      </c>
    </row>
    <row r="194" spans="2:4">
      <c r="B194" s="17">
        <f>アイスクリームの売り上げデータ!A194</f>
        <v>43657</v>
      </c>
      <c r="C194" s="22">
        <v>2</v>
      </c>
      <c r="D194" s="11">
        <f>アイスクリームの売り上げデータ!G194</f>
        <v>163</v>
      </c>
    </row>
    <row r="195" spans="2:4">
      <c r="B195" s="17">
        <f>アイスクリームの売り上げデータ!A195</f>
        <v>43658</v>
      </c>
      <c r="C195" s="22">
        <v>12.5</v>
      </c>
      <c r="D195" s="11">
        <f>アイスクリームの売り上げデータ!G195</f>
        <v>151</v>
      </c>
    </row>
    <row r="196" spans="2:4">
      <c r="B196" s="17">
        <f>アイスクリームの売り上げデータ!A196</f>
        <v>43659</v>
      </c>
      <c r="C196" s="22">
        <v>0.5</v>
      </c>
      <c r="D196" s="11">
        <f>アイスクリームの売り上げデータ!G196</f>
        <v>202</v>
      </c>
    </row>
    <row r="197" spans="2:4">
      <c r="B197" s="17">
        <f>アイスクリームの売り上げデータ!A197</f>
        <v>43660</v>
      </c>
      <c r="C197" s="22">
        <v>39</v>
      </c>
      <c r="D197" s="11">
        <f>アイスクリームの売り上げデータ!G197</f>
        <v>225</v>
      </c>
    </row>
    <row r="198" spans="2:4">
      <c r="B198" s="17">
        <f>アイスクリームの売り上げデータ!A198</f>
        <v>43661</v>
      </c>
      <c r="C198" s="22">
        <v>7</v>
      </c>
      <c r="D198" s="11">
        <f>アイスクリームの売り上げデータ!G198</f>
        <v>133</v>
      </c>
    </row>
    <row r="199" spans="2:4">
      <c r="B199" s="17">
        <f>アイスクリームの売り上げデータ!A199</f>
        <v>43662</v>
      </c>
      <c r="C199" s="22">
        <v>33.5</v>
      </c>
      <c r="D199" s="11">
        <f>アイスクリームの売り上げデータ!G199</f>
        <v>138</v>
      </c>
    </row>
    <row r="200" spans="2:4">
      <c r="B200" s="17">
        <f>アイスクリームの売り上げデータ!A200</f>
        <v>43663</v>
      </c>
      <c r="C200" s="22">
        <v>0.5</v>
      </c>
      <c r="D200" s="11">
        <f>アイスクリームの売り上げデータ!G200</f>
        <v>182</v>
      </c>
    </row>
    <row r="201" spans="2:4">
      <c r="B201" s="17">
        <f>アイスクリームの売り上げデータ!A201</f>
        <v>43664</v>
      </c>
      <c r="C201" s="22">
        <v>9.5</v>
      </c>
      <c r="D201" s="11">
        <f>アイスクリームの売り上げデータ!G201</f>
        <v>165</v>
      </c>
    </row>
    <row r="202" spans="2:4">
      <c r="B202" s="17">
        <f>アイスクリームの売り上げデータ!A202</f>
        <v>43665</v>
      </c>
      <c r="C202" s="22">
        <v>3.5</v>
      </c>
      <c r="D202" s="11">
        <f>アイスクリームの売り上げデータ!G202</f>
        <v>167</v>
      </c>
    </row>
    <row r="203" spans="2:4">
      <c r="B203" s="17">
        <f>アイスクリームの売り上げデータ!A203</f>
        <v>43666</v>
      </c>
      <c r="C203" s="22">
        <v>0</v>
      </c>
      <c r="D203" s="11">
        <f>アイスクリームの売り上げデータ!G203</f>
        <v>230</v>
      </c>
    </row>
    <row r="204" spans="2:4">
      <c r="B204" s="17">
        <f>アイスクリームの売り上げデータ!A204</f>
        <v>43667</v>
      </c>
      <c r="C204" s="22">
        <v>0</v>
      </c>
      <c r="D204" s="11">
        <f>アイスクリームの売り上げデータ!G204</f>
        <v>250</v>
      </c>
    </row>
    <row r="205" spans="2:4">
      <c r="B205" s="17">
        <f>アイスクリームの売り上げデータ!A205</f>
        <v>43668</v>
      </c>
      <c r="C205" s="22">
        <v>0.5</v>
      </c>
      <c r="D205" s="11">
        <f>アイスクリームの売り上げデータ!G205</f>
        <v>148</v>
      </c>
    </row>
    <row r="206" spans="2:4">
      <c r="B206" s="17">
        <f>アイスクリームの売り上げデータ!A206</f>
        <v>43669</v>
      </c>
      <c r="C206" s="22">
        <v>4</v>
      </c>
      <c r="D206" s="11">
        <f>アイスクリームの売り上げデータ!G206</f>
        <v>169</v>
      </c>
    </row>
    <row r="207" spans="2:4">
      <c r="B207" s="17">
        <f>アイスクリームの売り上げデータ!A207</f>
        <v>43670</v>
      </c>
      <c r="C207" s="22">
        <v>6</v>
      </c>
      <c r="D207" s="11">
        <f>アイスクリームの売り上げデータ!G207</f>
        <v>198</v>
      </c>
    </row>
    <row r="208" spans="2:4">
      <c r="B208" s="17">
        <f>アイスクリームの売り上げデータ!A208</f>
        <v>43671</v>
      </c>
      <c r="C208" s="22">
        <v>0</v>
      </c>
      <c r="D208" s="11">
        <f>アイスクリームの売り上げデータ!G208</f>
        <v>192</v>
      </c>
    </row>
    <row r="209" spans="2:4">
      <c r="B209" s="17">
        <f>アイスクリームの売り上げデータ!A209</f>
        <v>43672</v>
      </c>
      <c r="C209" s="22">
        <v>0.5</v>
      </c>
      <c r="D209" s="11">
        <f>アイスクリームの売り上げデータ!G209</f>
        <v>184</v>
      </c>
    </row>
    <row r="210" spans="2:4">
      <c r="B210" s="17">
        <f>アイスクリームの売り上げデータ!A210</f>
        <v>43673</v>
      </c>
      <c r="C210" s="22">
        <v>4</v>
      </c>
      <c r="D210" s="11">
        <f>アイスクリームの売り上げデータ!G210</f>
        <v>230</v>
      </c>
    </row>
    <row r="211" spans="2:4">
      <c r="B211" s="17">
        <f>アイスクリームの売り上げデータ!A211</f>
        <v>43674</v>
      </c>
      <c r="C211" s="22">
        <v>15</v>
      </c>
      <c r="D211" s="11">
        <f>アイスクリームの売り上げデータ!G211</f>
        <v>267</v>
      </c>
    </row>
    <row r="212" spans="2:4">
      <c r="B212" s="17">
        <f>アイスクリームの売り上げデータ!A212</f>
        <v>43675</v>
      </c>
      <c r="C212" s="22">
        <v>0</v>
      </c>
      <c r="D212" s="11">
        <f>アイスクリームの売り上げデータ!G212</f>
        <v>173</v>
      </c>
    </row>
    <row r="213" spans="2:4">
      <c r="B213" s="17">
        <f>アイスクリームの売り上げデータ!A213</f>
        <v>43676</v>
      </c>
      <c r="C213" s="22">
        <v>0</v>
      </c>
      <c r="D213" s="11">
        <f>アイスクリームの売り上げデータ!G213</f>
        <v>190</v>
      </c>
    </row>
    <row r="214" spans="2:4">
      <c r="B214" s="17">
        <f>アイスクリームの売り上げデータ!A214</f>
        <v>43677</v>
      </c>
      <c r="C214" s="22">
        <v>0</v>
      </c>
      <c r="D214" s="11">
        <f>アイスクリームの売り上げデータ!G214</f>
        <v>215</v>
      </c>
    </row>
    <row r="215" spans="2:4">
      <c r="B215" s="17">
        <f>アイスクリームの売り上げデータ!A215</f>
        <v>43678</v>
      </c>
      <c r="C215" s="22">
        <v>0</v>
      </c>
      <c r="D215" s="11">
        <f>アイスクリームの売り上げデータ!G215</f>
        <v>203</v>
      </c>
    </row>
    <row r="216" spans="2:4">
      <c r="B216" s="17">
        <f>アイスクリームの売り上げデータ!A216</f>
        <v>43679</v>
      </c>
      <c r="C216" s="22">
        <v>0</v>
      </c>
      <c r="D216" s="11">
        <f>アイスクリームの売り上げデータ!G216</f>
        <v>189</v>
      </c>
    </row>
    <row r="217" spans="2:4">
      <c r="B217" s="17">
        <f>アイスクリームの売り上げデータ!A217</f>
        <v>43680</v>
      </c>
      <c r="C217" s="22">
        <v>0</v>
      </c>
      <c r="D217" s="11">
        <f>アイスクリームの売り上げデータ!G217</f>
        <v>252</v>
      </c>
    </row>
    <row r="218" spans="2:4">
      <c r="B218" s="17">
        <f>アイスクリームの売り上げデータ!A218</f>
        <v>43681</v>
      </c>
      <c r="C218" s="22">
        <v>0</v>
      </c>
      <c r="D218" s="11">
        <f>アイスクリームの売り上げデータ!G218</f>
        <v>269</v>
      </c>
    </row>
    <row r="219" spans="2:4">
      <c r="B219" s="17">
        <f>アイスクリームの売り上げデータ!A219</f>
        <v>43682</v>
      </c>
      <c r="C219" s="22">
        <v>0</v>
      </c>
      <c r="D219" s="11">
        <f>アイスクリームの売り上げデータ!G219</f>
        <v>165</v>
      </c>
    </row>
    <row r="220" spans="2:4">
      <c r="B220" s="17">
        <f>アイスクリームの売り上げデータ!A220</f>
        <v>43683</v>
      </c>
      <c r="C220" s="22">
        <v>0</v>
      </c>
      <c r="D220" s="11">
        <f>アイスクリームの売り上げデータ!G220</f>
        <v>190</v>
      </c>
    </row>
    <row r="221" spans="2:4">
      <c r="B221" s="17">
        <f>アイスクリームの売り上げデータ!A221</f>
        <v>43684</v>
      </c>
      <c r="C221" s="22">
        <v>0</v>
      </c>
      <c r="D221" s="11">
        <f>アイスクリームの売り上げデータ!G221</f>
        <v>223</v>
      </c>
    </row>
    <row r="222" spans="2:4">
      <c r="B222" s="17">
        <f>アイスクリームの売り上げデータ!A222</f>
        <v>43685</v>
      </c>
      <c r="C222" s="22">
        <v>0</v>
      </c>
      <c r="D222" s="11">
        <f>アイスクリームの売り上げデータ!G222</f>
        <v>186</v>
      </c>
    </row>
    <row r="223" spans="2:4">
      <c r="B223" s="17">
        <f>アイスクリームの売り上げデータ!A223</f>
        <v>43686</v>
      </c>
      <c r="C223" s="22">
        <v>0</v>
      </c>
      <c r="D223" s="11">
        <f>アイスクリームの売り上げデータ!G223</f>
        <v>187</v>
      </c>
    </row>
    <row r="224" spans="2:4">
      <c r="B224" s="17">
        <f>アイスクリームの売り上げデータ!A224</f>
        <v>43687</v>
      </c>
      <c r="C224" s="22">
        <v>0</v>
      </c>
      <c r="D224" s="11">
        <f>アイスクリームの売り上げデータ!G224</f>
        <v>239</v>
      </c>
    </row>
    <row r="225" spans="2:4">
      <c r="B225" s="17">
        <f>アイスクリームの売り上げデータ!A225</f>
        <v>43688</v>
      </c>
      <c r="C225" s="22">
        <v>0</v>
      </c>
      <c r="D225" s="11">
        <f>アイスクリームの売り上げデータ!G225</f>
        <v>276</v>
      </c>
    </row>
    <row r="226" spans="2:4">
      <c r="B226" s="17">
        <f>アイスクリームの売り上げデータ!A226</f>
        <v>43689</v>
      </c>
      <c r="C226" s="22">
        <v>0.5</v>
      </c>
      <c r="D226" s="11">
        <f>アイスクリームの売り上げデータ!G226</f>
        <v>161</v>
      </c>
    </row>
    <row r="227" spans="2:4">
      <c r="B227" s="17">
        <f>アイスクリームの売り上げデータ!A227</f>
        <v>43690</v>
      </c>
      <c r="C227" s="22">
        <v>0</v>
      </c>
      <c r="D227" s="11">
        <f>アイスクリームの売り上げデータ!G227</f>
        <v>184</v>
      </c>
    </row>
    <row r="228" spans="2:4">
      <c r="B228" s="17">
        <f>アイスクリームの売り上げデータ!A228</f>
        <v>43691</v>
      </c>
      <c r="C228" s="22">
        <v>8.5</v>
      </c>
      <c r="D228" s="11">
        <f>アイスクリームの売り上げデータ!G228</f>
        <v>215</v>
      </c>
    </row>
    <row r="229" spans="2:4">
      <c r="B229" s="17">
        <f>アイスクリームの売り上げデータ!A229</f>
        <v>43692</v>
      </c>
      <c r="C229" s="22">
        <v>20</v>
      </c>
      <c r="D229" s="11">
        <f>アイスクリームの売り上げデータ!G229</f>
        <v>166</v>
      </c>
    </row>
    <row r="230" spans="2:4">
      <c r="B230" s="17">
        <f>アイスクリームの売り上げデータ!A230</f>
        <v>43693</v>
      </c>
      <c r="C230" s="22">
        <v>0</v>
      </c>
      <c r="D230" s="11">
        <f>アイスクリームの売り上げデータ!G230</f>
        <v>198</v>
      </c>
    </row>
    <row r="231" spans="2:4">
      <c r="B231" s="17">
        <f>アイスクリームの売り上げデータ!A231</f>
        <v>43694</v>
      </c>
      <c r="C231" s="22">
        <v>0</v>
      </c>
      <c r="D231" s="11">
        <f>アイスクリームの売り上げデータ!G231</f>
        <v>242</v>
      </c>
    </row>
    <row r="232" spans="2:4">
      <c r="B232" s="17">
        <f>アイスクリームの売り上げデータ!A232</f>
        <v>43695</v>
      </c>
      <c r="C232" s="22">
        <v>0</v>
      </c>
      <c r="D232" s="11">
        <f>アイスクリームの売り上げデータ!G232</f>
        <v>291</v>
      </c>
    </row>
    <row r="233" spans="2:4">
      <c r="B233" s="17">
        <f>アイスクリームの売り上げデータ!A233</f>
        <v>43696</v>
      </c>
      <c r="C233" s="22">
        <v>0.5</v>
      </c>
      <c r="D233" s="11">
        <f>アイスクリームの売り上げデータ!G233</f>
        <v>168</v>
      </c>
    </row>
    <row r="234" spans="2:4">
      <c r="B234" s="17">
        <f>アイスクリームの売り上げデータ!A234</f>
        <v>43697</v>
      </c>
      <c r="C234" s="22">
        <v>13</v>
      </c>
      <c r="D234" s="11">
        <f>アイスクリームの売り上げデータ!G234</f>
        <v>182</v>
      </c>
    </row>
    <row r="235" spans="2:4">
      <c r="B235" s="17">
        <f>アイスクリームの売り上げデータ!A235</f>
        <v>43698</v>
      </c>
      <c r="C235" s="22">
        <v>3</v>
      </c>
      <c r="D235" s="11">
        <f>アイスクリームの売り上げデータ!G235</f>
        <v>210</v>
      </c>
    </row>
    <row r="236" spans="2:4">
      <c r="B236" s="17">
        <f>アイスクリームの売り上げデータ!A236</f>
        <v>43699</v>
      </c>
      <c r="C236" s="22">
        <v>20</v>
      </c>
      <c r="D236" s="11">
        <f>アイスクリームの売り上げデータ!G236</f>
        <v>169</v>
      </c>
    </row>
    <row r="237" spans="2:4">
      <c r="B237" s="17">
        <f>アイスクリームの売り上げデータ!A237</f>
        <v>43700</v>
      </c>
      <c r="C237" s="22">
        <v>4.5</v>
      </c>
      <c r="D237" s="11">
        <f>アイスクリームの売り上げデータ!G237</f>
        <v>176</v>
      </c>
    </row>
    <row r="238" spans="2:4">
      <c r="B238" s="17">
        <f>アイスクリームの売り上げデータ!A238</f>
        <v>43701</v>
      </c>
      <c r="C238" s="22">
        <v>0</v>
      </c>
      <c r="D238" s="11">
        <f>アイスクリームの売り上げデータ!G238</f>
        <v>236</v>
      </c>
    </row>
    <row r="239" spans="2:4">
      <c r="B239" s="17">
        <f>アイスクリームの売り上げデータ!A239</f>
        <v>43702</v>
      </c>
      <c r="C239" s="22">
        <v>15</v>
      </c>
      <c r="D239" s="11">
        <f>アイスクリームの売り上げデータ!G239</f>
        <v>259</v>
      </c>
    </row>
    <row r="240" spans="2:4">
      <c r="B240" s="17">
        <f>アイスクリームの売り上げデータ!A240</f>
        <v>43703</v>
      </c>
      <c r="C240" s="22">
        <v>0</v>
      </c>
      <c r="D240" s="11">
        <f>アイスクリームの売り上げデータ!G240</f>
        <v>158</v>
      </c>
    </row>
    <row r="241" spans="2:4">
      <c r="B241" s="17">
        <f>アイスクリームの売り上げデータ!A241</f>
        <v>43704</v>
      </c>
      <c r="C241" s="22">
        <v>6</v>
      </c>
      <c r="D241" s="11">
        <f>アイスクリームの売り上げデータ!G241</f>
        <v>182</v>
      </c>
    </row>
    <row r="242" spans="2:4">
      <c r="B242" s="17">
        <f>アイスクリームの売り上げデータ!A242</f>
        <v>43705</v>
      </c>
      <c r="C242" s="22">
        <v>7</v>
      </c>
      <c r="D242" s="11">
        <f>アイスクリームの売り上げデータ!G242</f>
        <v>194</v>
      </c>
    </row>
    <row r="243" spans="2:4">
      <c r="B243" s="17">
        <f>アイスクリームの売り上げデータ!A243</f>
        <v>43706</v>
      </c>
      <c r="C243" s="22">
        <v>0</v>
      </c>
      <c r="D243" s="11">
        <f>アイスクリームの売り上げデータ!G243</f>
        <v>182</v>
      </c>
    </row>
    <row r="244" spans="2:4">
      <c r="B244" s="17">
        <f>アイスクリームの売り上げデータ!A244</f>
        <v>43707</v>
      </c>
      <c r="C244" s="22">
        <v>12</v>
      </c>
      <c r="D244" s="11">
        <f>アイスクリームの売り上げデータ!G244</f>
        <v>174</v>
      </c>
    </row>
    <row r="245" spans="2:4">
      <c r="B245" s="17">
        <f>アイスクリームの売り上げデータ!A245</f>
        <v>43708</v>
      </c>
      <c r="C245" s="22">
        <v>0</v>
      </c>
      <c r="D245" s="11">
        <f>アイスクリームの売り上げデータ!G245</f>
        <v>223</v>
      </c>
    </row>
    <row r="246" spans="2:4">
      <c r="B246" s="17">
        <f>アイスクリームの売り上げデータ!A246</f>
        <v>43709</v>
      </c>
      <c r="C246" s="22">
        <v>0</v>
      </c>
      <c r="D246" s="11">
        <f>アイスクリームの売り上げデータ!G246</f>
        <v>260</v>
      </c>
    </row>
    <row r="247" spans="2:4">
      <c r="B247" s="17">
        <f>アイスクリームの売り上げデータ!A247</f>
        <v>43710</v>
      </c>
      <c r="C247" s="22">
        <v>0</v>
      </c>
      <c r="D247" s="11">
        <f>アイスクリームの売り上げデータ!G247</f>
        <v>163</v>
      </c>
    </row>
    <row r="248" spans="2:4">
      <c r="B248" s="17">
        <f>アイスクリームの売り上げデータ!A248</f>
        <v>43711</v>
      </c>
      <c r="C248" s="22">
        <v>1.5</v>
      </c>
      <c r="D248" s="11">
        <f>アイスクリームの売り上げデータ!G248</f>
        <v>174</v>
      </c>
    </row>
    <row r="249" spans="2:4">
      <c r="B249" s="17">
        <f>アイスクリームの売り上げデータ!A249</f>
        <v>43712</v>
      </c>
      <c r="C249" s="22">
        <v>0</v>
      </c>
      <c r="D249" s="11">
        <f>アイスクリームの売り上げデータ!G249</f>
        <v>198</v>
      </c>
    </row>
    <row r="250" spans="2:4">
      <c r="B250" s="17">
        <f>アイスクリームの売り上げデータ!A250</f>
        <v>43713</v>
      </c>
      <c r="C250" s="22">
        <v>0</v>
      </c>
      <c r="D250" s="11">
        <f>アイスクリームの売り上げデータ!G250</f>
        <v>183</v>
      </c>
    </row>
    <row r="251" spans="2:4">
      <c r="B251" s="17">
        <f>アイスクリームの売り上げデータ!A251</f>
        <v>43714</v>
      </c>
      <c r="C251" s="22">
        <v>0</v>
      </c>
      <c r="D251" s="11">
        <f>アイスクリームの売り上げデータ!G251</f>
        <v>196</v>
      </c>
    </row>
    <row r="252" spans="2:4">
      <c r="B252" s="17">
        <f>アイスクリームの売り上げデータ!A252</f>
        <v>43715</v>
      </c>
      <c r="C252" s="22">
        <v>0</v>
      </c>
      <c r="D252" s="11">
        <f>アイスクリームの売り上げデータ!G252</f>
        <v>239</v>
      </c>
    </row>
    <row r="253" spans="2:4">
      <c r="B253" s="17">
        <f>アイスクリームの売り上げデータ!A253</f>
        <v>43716</v>
      </c>
      <c r="C253" s="22">
        <v>8.5</v>
      </c>
      <c r="D253" s="11">
        <f>アイスクリームの売り上げデータ!G253</f>
        <v>242</v>
      </c>
    </row>
    <row r="254" spans="2:4">
      <c r="B254" s="17">
        <f>アイスクリームの売り上げデータ!A254</f>
        <v>43717</v>
      </c>
      <c r="C254" s="22">
        <v>119</v>
      </c>
      <c r="D254" s="11">
        <f>アイスクリームの売り上げデータ!G254</f>
        <v>42</v>
      </c>
    </row>
    <row r="255" spans="2:4">
      <c r="B255" s="17">
        <f>アイスクリームの売り上げデータ!A255</f>
        <v>43718</v>
      </c>
      <c r="C255" s="22">
        <v>0.5</v>
      </c>
      <c r="D255" s="11">
        <f>アイスクリームの売り上げデータ!G255</f>
        <v>185</v>
      </c>
    </row>
    <row r="256" spans="2:4">
      <c r="B256" s="17">
        <f>アイスクリームの売り上げデータ!A256</f>
        <v>43719</v>
      </c>
      <c r="C256" s="22">
        <v>7.5</v>
      </c>
      <c r="D256" s="11">
        <f>アイスクリームの売り上げデータ!G256</f>
        <v>210</v>
      </c>
    </row>
    <row r="257" spans="2:4">
      <c r="B257" s="17">
        <f>アイスクリームの売り上げデータ!A257</f>
        <v>43720</v>
      </c>
      <c r="C257" s="22">
        <v>0</v>
      </c>
      <c r="D257" s="11">
        <f>アイスクリームの売り上げデータ!G257</f>
        <v>173</v>
      </c>
    </row>
    <row r="258" spans="2:4">
      <c r="B258" s="17">
        <f>アイスクリームの売り上げデータ!A258</f>
        <v>43721</v>
      </c>
      <c r="C258" s="22">
        <v>0</v>
      </c>
      <c r="D258" s="11">
        <f>アイスクリームの売り上げデータ!G258</f>
        <v>160</v>
      </c>
    </row>
    <row r="259" spans="2:4">
      <c r="B259" s="17">
        <f>アイスクリームの売り上げデータ!A259</f>
        <v>43722</v>
      </c>
      <c r="C259" s="22">
        <v>0</v>
      </c>
      <c r="D259" s="11">
        <f>アイスクリームの売り上げデータ!G259</f>
        <v>224</v>
      </c>
    </row>
    <row r="260" spans="2:4">
      <c r="B260" s="17">
        <f>アイスクリームの売り上げデータ!A260</f>
        <v>43723</v>
      </c>
      <c r="C260" s="22">
        <v>0.5</v>
      </c>
      <c r="D260" s="11">
        <f>アイスクリームの売り上げデータ!G260</f>
        <v>276</v>
      </c>
    </row>
    <row r="261" spans="2:4">
      <c r="B261" s="17">
        <f>アイスクリームの売り上げデータ!A261</f>
        <v>43724</v>
      </c>
      <c r="C261" s="22">
        <v>28.5</v>
      </c>
      <c r="D261" s="11">
        <f>アイスクリームの売り上げデータ!G261</f>
        <v>122</v>
      </c>
    </row>
    <row r="262" spans="2:4">
      <c r="B262" s="17">
        <f>アイスクリームの売り上げデータ!A262</f>
        <v>43725</v>
      </c>
      <c r="C262" s="22">
        <v>0</v>
      </c>
      <c r="D262" s="11">
        <f>アイスクリームの売り上げデータ!G262</f>
        <v>169</v>
      </c>
    </row>
    <row r="263" spans="2:4">
      <c r="B263" s="17">
        <f>アイスクリームの売り上げデータ!A263</f>
        <v>43726</v>
      </c>
      <c r="C263" s="22">
        <v>9.5</v>
      </c>
      <c r="D263" s="11">
        <f>アイスクリームの売り上げデータ!G263</f>
        <v>164</v>
      </c>
    </row>
    <row r="264" spans="2:4">
      <c r="B264" s="17">
        <f>アイスクリームの売り上げデータ!A264</f>
        <v>43727</v>
      </c>
      <c r="C264" s="22">
        <v>0</v>
      </c>
      <c r="D264" s="11">
        <f>アイスクリームの売り上げデータ!G264</f>
        <v>172</v>
      </c>
    </row>
    <row r="265" spans="2:4">
      <c r="B265" s="17">
        <f>アイスクリームの売り上げデータ!A265</f>
        <v>43728</v>
      </c>
      <c r="C265" s="22">
        <v>0</v>
      </c>
      <c r="D265" s="11">
        <f>アイスクリームの売り上げデータ!G265</f>
        <v>158</v>
      </c>
    </row>
    <row r="266" spans="2:4">
      <c r="B266" s="17">
        <f>アイスクリームの売り上げデータ!A266</f>
        <v>43729</v>
      </c>
      <c r="C266" s="22">
        <v>0</v>
      </c>
      <c r="D266" s="11">
        <f>アイスクリームの売り上げデータ!G266</f>
        <v>210</v>
      </c>
    </row>
    <row r="267" spans="2:4">
      <c r="B267" s="17">
        <f>アイスクリームの売り上げデータ!A267</f>
        <v>43730</v>
      </c>
      <c r="C267" s="22">
        <v>17</v>
      </c>
      <c r="D267" s="11">
        <f>アイスクリームの売り上げデータ!G267</f>
        <v>235</v>
      </c>
    </row>
    <row r="268" spans="2:4">
      <c r="B268" s="17">
        <f>アイスクリームの売り上げデータ!A268</f>
        <v>43731</v>
      </c>
      <c r="C268" s="22">
        <v>3.5</v>
      </c>
      <c r="D268" s="11">
        <f>アイスクリームの売り上げデータ!G268</f>
        <v>152</v>
      </c>
    </row>
    <row r="269" spans="2:4">
      <c r="B269" s="17">
        <f>アイスクリームの売り上げデータ!A269</f>
        <v>43732</v>
      </c>
      <c r="C269" s="22">
        <v>1</v>
      </c>
      <c r="D269" s="11">
        <f>アイスクリームの売り上げデータ!G269</f>
        <v>180</v>
      </c>
    </row>
    <row r="270" spans="2:4">
      <c r="B270" s="17">
        <f>アイスクリームの売り上げデータ!A270</f>
        <v>43733</v>
      </c>
      <c r="C270" s="22">
        <v>0</v>
      </c>
      <c r="D270" s="11">
        <f>アイスクリームの売り上げデータ!G270</f>
        <v>208</v>
      </c>
    </row>
    <row r="271" spans="2:4">
      <c r="B271" s="17">
        <f>アイスクリームの売り上げデータ!A271</f>
        <v>43734</v>
      </c>
      <c r="C271" s="22">
        <v>0</v>
      </c>
      <c r="D271" s="11">
        <f>アイスクリームの売り上げデータ!G271</f>
        <v>181</v>
      </c>
    </row>
    <row r="272" spans="2:4">
      <c r="B272" s="17">
        <f>アイスクリームの売り上げデータ!A272</f>
        <v>43735</v>
      </c>
      <c r="C272" s="22">
        <v>0</v>
      </c>
      <c r="D272" s="11">
        <f>アイスクリームの売り上げデータ!G272</f>
        <v>176</v>
      </c>
    </row>
    <row r="273" spans="2:4">
      <c r="B273" s="17">
        <f>アイスクリームの売り上げデータ!A273</f>
        <v>43736</v>
      </c>
      <c r="C273" s="22">
        <v>0</v>
      </c>
      <c r="D273" s="11">
        <f>アイスクリームの売り上げデータ!G273</f>
        <v>213</v>
      </c>
    </row>
    <row r="274" spans="2:4">
      <c r="B274" s="17">
        <f>アイスクリームの売り上げデータ!A274</f>
        <v>43737</v>
      </c>
      <c r="C274" s="22">
        <v>0</v>
      </c>
      <c r="D274" s="11">
        <f>アイスクリームの売り上げデータ!G274</f>
        <v>256</v>
      </c>
    </row>
    <row r="275" spans="2:4">
      <c r="B275" s="17">
        <f>アイスクリームの売り上げデータ!A275</f>
        <v>43738</v>
      </c>
      <c r="C275" s="22">
        <v>0</v>
      </c>
      <c r="D275" s="11">
        <f>アイスクリームの売り上げデータ!G275</f>
        <v>162</v>
      </c>
    </row>
    <row r="276" spans="2:4">
      <c r="B276" s="17">
        <f>アイスクリームの売り上げデータ!A276</f>
        <v>43739</v>
      </c>
      <c r="C276" s="22">
        <v>0</v>
      </c>
      <c r="D276" s="11">
        <f>アイスクリームの売り上げデータ!G276</f>
        <v>174</v>
      </c>
    </row>
    <row r="277" spans="2:4">
      <c r="B277" s="17">
        <f>アイスクリームの売り上げデータ!A277</f>
        <v>43740</v>
      </c>
      <c r="C277" s="22">
        <v>0</v>
      </c>
      <c r="D277" s="11">
        <f>アイスクリームの売り上げデータ!G277</f>
        <v>193</v>
      </c>
    </row>
    <row r="278" spans="2:4">
      <c r="B278" s="17">
        <f>アイスクリームの売り上げデータ!A278</f>
        <v>43741</v>
      </c>
      <c r="C278" s="22">
        <v>0</v>
      </c>
      <c r="D278" s="11">
        <f>アイスクリームの売り上げデータ!G278</f>
        <v>171</v>
      </c>
    </row>
    <row r="279" spans="2:4">
      <c r="B279" s="17">
        <f>アイスクリームの売り上げデータ!A279</f>
        <v>43742</v>
      </c>
      <c r="C279" s="22">
        <v>10</v>
      </c>
      <c r="D279" s="11">
        <f>アイスクリームの売り上げデータ!G279</f>
        <v>161</v>
      </c>
    </row>
    <row r="280" spans="2:4">
      <c r="B280" s="17">
        <f>アイスクリームの売り上げデータ!A280</f>
        <v>43743</v>
      </c>
      <c r="C280" s="22">
        <v>0</v>
      </c>
      <c r="D280" s="11">
        <f>アイスクリームの売り上げデータ!G280</f>
        <v>236</v>
      </c>
    </row>
    <row r="281" spans="2:4">
      <c r="B281" s="17">
        <f>アイスクリームの売り上げデータ!A281</f>
        <v>43744</v>
      </c>
      <c r="C281" s="22">
        <v>5.5</v>
      </c>
      <c r="D281" s="11">
        <f>アイスクリームの売り上げデータ!G281</f>
        <v>217</v>
      </c>
    </row>
    <row r="282" spans="2:4">
      <c r="B282" s="17">
        <f>アイスクリームの売り上げデータ!A282</f>
        <v>43745</v>
      </c>
      <c r="C282" s="22">
        <v>7</v>
      </c>
      <c r="D282" s="11">
        <f>アイスクリームの売り上げデータ!G282</f>
        <v>138</v>
      </c>
    </row>
    <row r="283" spans="2:4">
      <c r="B283" s="17">
        <f>アイスクリームの売り上げデータ!A283</f>
        <v>43746</v>
      </c>
      <c r="C283" s="22">
        <v>5.5</v>
      </c>
      <c r="D283" s="11">
        <f>アイスクリームの売り上げデータ!G283</f>
        <v>166</v>
      </c>
    </row>
    <row r="284" spans="2:4">
      <c r="B284" s="17">
        <f>アイスクリームの売り上げデータ!A284</f>
        <v>43747</v>
      </c>
      <c r="C284" s="22">
        <v>0</v>
      </c>
      <c r="D284" s="11">
        <f>アイスクリームの売り上げデータ!G284</f>
        <v>196</v>
      </c>
    </row>
    <row r="285" spans="2:4">
      <c r="B285" s="17">
        <f>アイスクリームの売り上げデータ!A285</f>
        <v>43748</v>
      </c>
      <c r="C285" s="22">
        <v>9</v>
      </c>
      <c r="D285" s="11">
        <f>アイスクリームの売り上げデータ!G285</f>
        <v>154</v>
      </c>
    </row>
    <row r="286" spans="2:4">
      <c r="B286" s="17">
        <f>アイスクリームの売り上げデータ!A286</f>
        <v>43749</v>
      </c>
      <c r="C286" s="22">
        <v>7.5</v>
      </c>
      <c r="D286" s="11">
        <f>アイスクリームの売り上げデータ!G286</f>
        <v>150</v>
      </c>
    </row>
    <row r="287" spans="2:4">
      <c r="B287" s="17">
        <f>アイスクリームの売り上げデータ!A287</f>
        <v>43750</v>
      </c>
      <c r="C287" s="22">
        <v>209.5</v>
      </c>
      <c r="D287" s="11">
        <f>アイスクリームの売り上げデータ!G287</f>
        <v>0</v>
      </c>
    </row>
    <row r="288" spans="2:4">
      <c r="B288" s="17">
        <f>アイスクリームの売り上げデータ!A288</f>
        <v>43751</v>
      </c>
      <c r="C288" s="22">
        <v>0</v>
      </c>
      <c r="D288" s="11">
        <f>アイスクリームの売り上げデータ!G288</f>
        <v>249</v>
      </c>
    </row>
    <row r="289" spans="2:4">
      <c r="B289" s="17">
        <f>アイスクリームの売り上げデータ!A289</f>
        <v>43752</v>
      </c>
      <c r="C289" s="22">
        <v>5</v>
      </c>
      <c r="D289" s="11">
        <f>アイスクリームの売り上げデータ!G289</f>
        <v>124</v>
      </c>
    </row>
    <row r="290" spans="2:4">
      <c r="B290" s="17">
        <f>アイスクリームの売り上げデータ!A290</f>
        <v>43753</v>
      </c>
      <c r="C290" s="22">
        <v>0</v>
      </c>
      <c r="D290" s="11">
        <f>アイスクリームの売り上げデータ!G290</f>
        <v>146</v>
      </c>
    </row>
    <row r="291" spans="2:4">
      <c r="B291" s="17">
        <f>アイスクリームの売り上げデータ!A291</f>
        <v>43754</v>
      </c>
      <c r="C291" s="22">
        <v>0</v>
      </c>
      <c r="D291" s="11">
        <f>アイスクリームの売り上げデータ!G291</f>
        <v>170</v>
      </c>
    </row>
    <row r="292" spans="2:4">
      <c r="B292" s="17">
        <f>アイスクリームの売り上げデータ!A292</f>
        <v>43755</v>
      </c>
      <c r="C292" s="22">
        <v>4.5</v>
      </c>
      <c r="D292" s="11">
        <f>アイスクリームの売り上げデータ!G292</f>
        <v>147</v>
      </c>
    </row>
    <row r="293" spans="2:4">
      <c r="B293" s="17">
        <f>アイスクリームの売り上げデータ!A293</f>
        <v>43756</v>
      </c>
      <c r="C293" s="22">
        <v>5.5</v>
      </c>
      <c r="D293" s="11">
        <f>アイスクリームの売り上げデータ!G293</f>
        <v>135</v>
      </c>
    </row>
    <row r="294" spans="2:4">
      <c r="B294" s="17">
        <f>アイスクリームの売り上げデータ!A294</f>
        <v>43757</v>
      </c>
      <c r="C294" s="22">
        <v>53.5</v>
      </c>
      <c r="D294" s="11">
        <f>アイスクリームの売り上げデータ!G294</f>
        <v>123</v>
      </c>
    </row>
    <row r="295" spans="2:4">
      <c r="B295" s="17">
        <f>アイスクリームの売り上げデータ!A295</f>
        <v>43758</v>
      </c>
      <c r="C295" s="22">
        <v>0</v>
      </c>
      <c r="D295" s="11">
        <f>アイスクリームの売り上げデータ!G295</f>
        <v>252</v>
      </c>
    </row>
    <row r="296" spans="2:4">
      <c r="B296" s="17">
        <f>アイスクリームの売り上げデータ!A296</f>
        <v>43759</v>
      </c>
      <c r="C296" s="22">
        <v>6.5</v>
      </c>
      <c r="D296" s="11">
        <f>アイスクリームの売り上げデータ!G296</f>
        <v>115</v>
      </c>
    </row>
    <row r="297" spans="2:4">
      <c r="B297" s="17">
        <f>アイスクリームの売り上げデータ!A297</f>
        <v>43760</v>
      </c>
      <c r="C297" s="22">
        <v>65</v>
      </c>
      <c r="D297" s="11">
        <f>アイスクリームの売り上げデータ!G297</f>
        <v>84</v>
      </c>
    </row>
    <row r="298" spans="2:4">
      <c r="B298" s="17">
        <f>アイスクリームの売り上げデータ!A298</f>
        <v>43761</v>
      </c>
      <c r="C298" s="22">
        <v>0</v>
      </c>
      <c r="D298" s="11">
        <f>アイスクリームの売り上げデータ!G298</f>
        <v>184</v>
      </c>
    </row>
    <row r="299" spans="2:4">
      <c r="B299" s="17">
        <f>アイスクリームの売り上げデータ!A299</f>
        <v>43762</v>
      </c>
      <c r="C299" s="22">
        <v>3</v>
      </c>
      <c r="D299" s="11">
        <f>アイスクリームの売り上げデータ!G299</f>
        <v>139</v>
      </c>
    </row>
    <row r="300" spans="2:4">
      <c r="B300" s="17">
        <f>アイスクリームの売り上げデータ!A300</f>
        <v>43763</v>
      </c>
      <c r="C300" s="22">
        <v>120.5</v>
      </c>
      <c r="D300" s="11">
        <f>アイスクリームの売り上げデータ!G300</f>
        <v>7</v>
      </c>
    </row>
    <row r="301" spans="2:4">
      <c r="B301" s="17">
        <f>アイスクリームの売り上げデータ!A301</f>
        <v>43764</v>
      </c>
      <c r="C301" s="22">
        <v>0.5</v>
      </c>
      <c r="D301" s="11">
        <f>アイスクリームの売り上げデータ!G301</f>
        <v>206</v>
      </c>
    </row>
    <row r="302" spans="2:4">
      <c r="B302" s="17">
        <f>アイスクリームの売り上げデータ!A302</f>
        <v>43765</v>
      </c>
      <c r="C302" s="22">
        <v>0</v>
      </c>
      <c r="D302" s="11">
        <f>アイスクリームの売り上げデータ!G302</f>
        <v>249</v>
      </c>
    </row>
    <row r="303" spans="2:4">
      <c r="B303" s="17">
        <f>アイスクリームの売り上げデータ!A303</f>
        <v>43766</v>
      </c>
      <c r="C303" s="22">
        <v>0</v>
      </c>
      <c r="D303" s="11">
        <f>アイスクリームの売り上げデータ!G303</f>
        <v>132</v>
      </c>
    </row>
    <row r="304" spans="2:4">
      <c r="B304" s="17">
        <f>アイスクリームの売り上げデータ!A304</f>
        <v>43767</v>
      </c>
      <c r="C304" s="22">
        <v>11.5</v>
      </c>
      <c r="D304" s="11">
        <f>アイスクリームの売り上げデータ!G304</f>
        <v>116</v>
      </c>
    </row>
    <row r="305" spans="2:4">
      <c r="B305" s="17">
        <f>アイスクリームの売り上げデータ!A305</f>
        <v>43768</v>
      </c>
      <c r="C305" s="22">
        <v>0</v>
      </c>
      <c r="D305" s="11">
        <f>アイスクリームの売り上げデータ!G305</f>
        <v>182</v>
      </c>
    </row>
    <row r="306" spans="2:4">
      <c r="B306" s="17">
        <f>アイスクリームの売り上げデータ!A306</f>
        <v>43769</v>
      </c>
      <c r="C306" s="22">
        <v>0</v>
      </c>
      <c r="D306" s="11">
        <f>アイスクリームの売り上げデータ!G306</f>
        <v>146</v>
      </c>
    </row>
    <row r="307" spans="2:4">
      <c r="B307" s="17">
        <f>アイスクリームの売り上げデータ!A307</f>
        <v>43770</v>
      </c>
      <c r="C307" s="22">
        <v>0</v>
      </c>
      <c r="D307" s="11">
        <f>アイスクリームの売り上げデータ!G307</f>
        <v>153</v>
      </c>
    </row>
    <row r="308" spans="2:4">
      <c r="B308" s="17">
        <f>アイスクリームの売り上げデータ!A308</f>
        <v>43771</v>
      </c>
      <c r="C308" s="22">
        <v>0</v>
      </c>
      <c r="D308" s="11">
        <f>アイスクリームの売り上げデータ!G308</f>
        <v>198</v>
      </c>
    </row>
    <row r="309" spans="2:4">
      <c r="B309" s="17">
        <f>アイスクリームの売り上げデータ!A309</f>
        <v>43772</v>
      </c>
      <c r="C309" s="22">
        <v>10.5</v>
      </c>
      <c r="D309" s="11">
        <f>アイスクリームの売り上げデータ!G309</f>
        <v>213</v>
      </c>
    </row>
    <row r="310" spans="2:4">
      <c r="B310" s="17">
        <f>アイスクリームの売り上げデータ!A310</f>
        <v>43773</v>
      </c>
      <c r="C310" s="22">
        <v>1</v>
      </c>
      <c r="D310" s="11">
        <f>アイスクリームの売り上げデータ!G310</f>
        <v>115</v>
      </c>
    </row>
    <row r="311" spans="2:4">
      <c r="B311" s="17">
        <f>アイスクリームの売り上げデータ!A311</f>
        <v>43774</v>
      </c>
      <c r="C311" s="22">
        <v>0</v>
      </c>
      <c r="D311" s="11">
        <f>アイスクリームの売り上げデータ!G311</f>
        <v>128</v>
      </c>
    </row>
    <row r="312" spans="2:4">
      <c r="B312" s="17">
        <f>アイスクリームの売り上げデータ!A312</f>
        <v>43775</v>
      </c>
      <c r="C312" s="22">
        <v>0</v>
      </c>
      <c r="D312" s="11">
        <f>アイスクリームの売り上げデータ!G312</f>
        <v>160</v>
      </c>
    </row>
    <row r="313" spans="2:4">
      <c r="B313" s="17">
        <f>アイスクリームの売り上げデータ!A313</f>
        <v>43776</v>
      </c>
      <c r="C313" s="22">
        <v>0</v>
      </c>
      <c r="D313" s="11">
        <f>アイスクリームの売り上げデータ!G313</f>
        <v>136</v>
      </c>
    </row>
    <row r="314" spans="2:4">
      <c r="B314" s="17">
        <f>アイスクリームの売り上げデータ!A314</f>
        <v>43777</v>
      </c>
      <c r="C314" s="22">
        <v>0</v>
      </c>
      <c r="D314" s="11">
        <f>アイスクリームの売り上げデータ!G314</f>
        <v>132</v>
      </c>
    </row>
    <row r="315" spans="2:4">
      <c r="B315" s="17">
        <f>アイスクリームの売り上げデータ!A315</f>
        <v>43778</v>
      </c>
      <c r="C315" s="22">
        <v>0</v>
      </c>
      <c r="D315" s="11">
        <f>アイスクリームの売り上げデータ!G315</f>
        <v>168</v>
      </c>
    </row>
    <row r="316" spans="2:4">
      <c r="B316" s="17">
        <f>アイスクリームの売り上げデータ!A316</f>
        <v>43779</v>
      </c>
      <c r="C316" s="22">
        <v>0</v>
      </c>
      <c r="D316" s="11">
        <f>アイスクリームの売り上げデータ!G316</f>
        <v>238</v>
      </c>
    </row>
    <row r="317" spans="2:4">
      <c r="B317" s="17">
        <f>アイスクリームの売り上げデータ!A317</f>
        <v>43780</v>
      </c>
      <c r="C317" s="22">
        <v>6.5</v>
      </c>
      <c r="D317" s="11">
        <f>アイスクリームの売り上げデータ!G317</f>
        <v>113</v>
      </c>
    </row>
    <row r="318" spans="2:4">
      <c r="B318" s="17">
        <f>アイスクリームの売り上げデータ!A318</f>
        <v>43781</v>
      </c>
      <c r="C318" s="22">
        <v>0</v>
      </c>
      <c r="D318" s="11">
        <f>アイスクリームの売り上げデータ!G318</f>
        <v>145</v>
      </c>
    </row>
    <row r="319" spans="2:4">
      <c r="B319" s="17">
        <f>アイスクリームの売り上げデータ!A319</f>
        <v>43782</v>
      </c>
      <c r="C319" s="22">
        <v>0.5</v>
      </c>
      <c r="D319" s="11">
        <f>アイスクリームの売り上げデータ!G319</f>
        <v>152</v>
      </c>
    </row>
    <row r="320" spans="2:4">
      <c r="B320" s="17">
        <f>アイスクリームの売り上げデータ!A320</f>
        <v>43783</v>
      </c>
      <c r="C320" s="22">
        <v>0</v>
      </c>
      <c r="D320" s="11">
        <f>アイスクリームの売り上げデータ!G320</f>
        <v>140</v>
      </c>
    </row>
    <row r="321" spans="2:4">
      <c r="B321" s="17">
        <f>アイスクリームの売り上げデータ!A321</f>
        <v>43784</v>
      </c>
      <c r="C321" s="22">
        <v>0</v>
      </c>
      <c r="D321" s="11">
        <f>アイスクリームの売り上げデータ!G321</f>
        <v>136</v>
      </c>
    </row>
    <row r="322" spans="2:4">
      <c r="B322" s="17">
        <f>アイスクリームの売り上げデータ!A322</f>
        <v>43785</v>
      </c>
      <c r="C322" s="22">
        <v>0</v>
      </c>
      <c r="D322" s="11">
        <f>アイスクリームの売り上げデータ!G322</f>
        <v>168</v>
      </c>
    </row>
    <row r="323" spans="2:4">
      <c r="B323" s="17">
        <f>アイスクリームの売り上げデータ!A323</f>
        <v>43786</v>
      </c>
      <c r="C323" s="22">
        <v>0</v>
      </c>
      <c r="D323" s="11">
        <f>アイスクリームの売り上げデータ!G323</f>
        <v>226</v>
      </c>
    </row>
    <row r="324" spans="2:4">
      <c r="B324" s="17">
        <f>アイスクリームの売り上げデータ!A324</f>
        <v>43787</v>
      </c>
      <c r="C324" s="22">
        <v>0</v>
      </c>
      <c r="D324" s="11">
        <f>アイスクリームの売り上げデータ!G324</f>
        <v>114</v>
      </c>
    </row>
    <row r="325" spans="2:4">
      <c r="B325" s="17">
        <f>アイスクリームの売り上げデータ!A325</f>
        <v>43788</v>
      </c>
      <c r="C325" s="22">
        <v>3</v>
      </c>
      <c r="D325" s="11">
        <f>アイスクリームの売り上げデータ!G325</f>
        <v>152</v>
      </c>
    </row>
    <row r="326" spans="2:4">
      <c r="B326" s="17">
        <f>アイスクリームの売り上げデータ!A326</f>
        <v>43789</v>
      </c>
      <c r="C326" s="22">
        <v>0</v>
      </c>
      <c r="D326" s="11">
        <f>アイスクリームの売り上げデータ!G326</f>
        <v>166</v>
      </c>
    </row>
    <row r="327" spans="2:4">
      <c r="B327" s="17">
        <f>アイスクリームの売り上げデータ!A327</f>
        <v>43790</v>
      </c>
      <c r="C327" s="22">
        <v>0</v>
      </c>
      <c r="D327" s="11">
        <f>アイスクリームの売り上げデータ!G327</f>
        <v>134</v>
      </c>
    </row>
    <row r="328" spans="2:4">
      <c r="B328" s="17">
        <f>アイスクリームの売り上げデータ!A328</f>
        <v>43791</v>
      </c>
      <c r="C328" s="22">
        <v>47</v>
      </c>
      <c r="D328" s="11">
        <f>アイスクリームの売り上げデータ!G328</f>
        <v>62</v>
      </c>
    </row>
    <row r="329" spans="2:4">
      <c r="B329" s="17">
        <f>アイスクリームの売り上げデータ!A329</f>
        <v>43792</v>
      </c>
      <c r="C329" s="22">
        <v>60.5</v>
      </c>
      <c r="D329" s="11">
        <f>アイスクリームの売り上げデータ!G329</f>
        <v>117</v>
      </c>
    </row>
    <row r="330" spans="2:4">
      <c r="B330" s="17">
        <f>アイスクリームの売り上げデータ!A330</f>
        <v>43793</v>
      </c>
      <c r="C330" s="22">
        <v>19</v>
      </c>
      <c r="D330" s="11">
        <f>アイスクリームの売り上げデータ!G330</f>
        <v>226</v>
      </c>
    </row>
    <row r="331" spans="2:4">
      <c r="B331" s="17">
        <f>アイスクリームの売り上げデータ!A331</f>
        <v>43794</v>
      </c>
      <c r="C331" s="22">
        <v>1</v>
      </c>
      <c r="D331" s="11">
        <f>アイスクリームの売り上げデータ!G331</f>
        <v>128</v>
      </c>
    </row>
    <row r="332" spans="2:4">
      <c r="B332" s="17">
        <f>アイスクリームの売り上げデータ!A332</f>
        <v>43795</v>
      </c>
      <c r="C332" s="22">
        <v>1.5</v>
      </c>
      <c r="D332" s="11">
        <f>アイスクリームの売り上げデータ!G332</f>
        <v>113</v>
      </c>
    </row>
    <row r="333" spans="2:4">
      <c r="B333" s="17">
        <f>アイスクリームの売り上げデータ!A333</f>
        <v>43796</v>
      </c>
      <c r="C333" s="22">
        <v>2.5</v>
      </c>
      <c r="D333" s="11">
        <f>アイスクリームの売り上げデータ!G333</f>
        <v>128</v>
      </c>
    </row>
    <row r="334" spans="2:4">
      <c r="B334" s="17">
        <f>アイスクリームの売り上げデータ!A334</f>
        <v>43797</v>
      </c>
      <c r="C334" s="22">
        <v>3.5</v>
      </c>
      <c r="D334" s="11">
        <f>アイスクリームの売り上げデータ!G334</f>
        <v>109</v>
      </c>
    </row>
    <row r="335" spans="2:4">
      <c r="B335" s="17">
        <f>アイスクリームの売り上げデータ!A335</f>
        <v>43798</v>
      </c>
      <c r="C335" s="22">
        <v>0</v>
      </c>
      <c r="D335" s="11">
        <f>アイスクリームの売り上げデータ!G335</f>
        <v>96</v>
      </c>
    </row>
    <row r="336" spans="2:4">
      <c r="B336" s="17">
        <f>アイスクリームの売り上げデータ!A336</f>
        <v>43799</v>
      </c>
      <c r="C336" s="22">
        <v>0</v>
      </c>
      <c r="D336" s="11">
        <f>アイスクリームの売り上げデータ!G336</f>
        <v>143</v>
      </c>
    </row>
    <row r="337" spans="2:4">
      <c r="B337" s="17">
        <f>アイスクリームの売り上げデータ!A337</f>
        <v>43800</v>
      </c>
      <c r="C337" s="22">
        <v>0</v>
      </c>
      <c r="D337" s="11">
        <f>アイスクリームの売り上げデータ!G337</f>
        <v>211</v>
      </c>
    </row>
    <row r="338" spans="2:4">
      <c r="B338" s="17">
        <f>アイスクリームの売り上げデータ!A338</f>
        <v>43801</v>
      </c>
      <c r="C338" s="22">
        <v>36</v>
      </c>
      <c r="D338" s="11">
        <f>アイスクリームの売り上げデータ!G338</f>
        <v>60</v>
      </c>
    </row>
    <row r="339" spans="2:4">
      <c r="B339" s="17">
        <f>アイスクリームの売り上げデータ!A339</f>
        <v>43802</v>
      </c>
      <c r="C339" s="22">
        <v>0</v>
      </c>
      <c r="D339" s="11">
        <f>アイスクリームの売り上げデータ!G339</f>
        <v>129</v>
      </c>
    </row>
    <row r="340" spans="2:4">
      <c r="B340" s="17">
        <f>アイスクリームの売り上げデータ!A340</f>
        <v>43803</v>
      </c>
      <c r="C340" s="22">
        <v>0</v>
      </c>
      <c r="D340" s="11">
        <f>アイスクリームの売り上げデータ!G340</f>
        <v>162</v>
      </c>
    </row>
    <row r="341" spans="2:4">
      <c r="B341" s="17">
        <f>アイスクリームの売り上げデータ!A341</f>
        <v>43804</v>
      </c>
      <c r="C341" s="22">
        <v>0</v>
      </c>
      <c r="D341" s="11">
        <f>アイスクリームの売り上げデータ!G341</f>
        <v>115</v>
      </c>
    </row>
    <row r="342" spans="2:4">
      <c r="B342" s="17">
        <f>アイスクリームの売り上げデータ!A342</f>
        <v>43805</v>
      </c>
      <c r="C342" s="22">
        <v>0</v>
      </c>
      <c r="D342" s="11">
        <f>アイスクリームの売り上げデータ!G342</f>
        <v>112</v>
      </c>
    </row>
    <row r="343" spans="2:4">
      <c r="B343" s="17">
        <f>アイスクリームの売り上げデータ!A343</f>
        <v>43806</v>
      </c>
      <c r="C343" s="22">
        <v>1.5</v>
      </c>
      <c r="D343" s="11">
        <f>アイスクリームの売り上げデータ!G343</f>
        <v>143</v>
      </c>
    </row>
    <row r="344" spans="2:4">
      <c r="B344" s="17">
        <f>アイスクリームの売り上げデータ!A344</f>
        <v>43807</v>
      </c>
      <c r="C344" s="22">
        <v>0</v>
      </c>
      <c r="D344" s="11">
        <f>アイスクリームの売り上げデータ!G344</f>
        <v>196</v>
      </c>
    </row>
    <row r="345" spans="2:4">
      <c r="B345" s="17">
        <f>アイスクリームの売り上げデータ!A345</f>
        <v>43808</v>
      </c>
      <c r="C345" s="22">
        <v>1</v>
      </c>
      <c r="D345" s="11">
        <f>アイスクリームの売り上げデータ!G345</f>
        <v>80</v>
      </c>
    </row>
    <row r="346" spans="2:4">
      <c r="B346" s="17">
        <f>アイスクリームの売り上げデータ!A346</f>
        <v>43809</v>
      </c>
      <c r="C346" s="22">
        <v>5.5</v>
      </c>
      <c r="D346" s="11">
        <f>アイスクリームの売り上げデータ!G346</f>
        <v>113</v>
      </c>
    </row>
    <row r="347" spans="2:4">
      <c r="B347" s="17">
        <f>アイスクリームの売り上げデータ!A347</f>
        <v>43810</v>
      </c>
      <c r="C347" s="22">
        <v>0.5</v>
      </c>
      <c r="D347" s="11">
        <f>アイスクリームの売り上げデータ!G347</f>
        <v>156</v>
      </c>
    </row>
    <row r="348" spans="2:4">
      <c r="B348" s="17">
        <f>アイスクリームの売り上げデータ!A348</f>
        <v>43811</v>
      </c>
      <c r="C348" s="22">
        <v>0</v>
      </c>
      <c r="D348" s="11">
        <f>アイスクリームの売り上げデータ!G348</f>
        <v>144</v>
      </c>
    </row>
    <row r="349" spans="2:4">
      <c r="B349" s="17">
        <f>アイスクリームの売り上げデータ!A349</f>
        <v>43812</v>
      </c>
      <c r="C349" s="22">
        <v>0</v>
      </c>
      <c r="D349" s="11">
        <f>アイスクリームの売り上げデータ!G349</f>
        <v>108</v>
      </c>
    </row>
    <row r="350" spans="2:4">
      <c r="B350" s="17">
        <f>アイスクリームの売り上げデータ!A350</f>
        <v>43813</v>
      </c>
      <c r="C350" s="22">
        <v>0</v>
      </c>
      <c r="D350" s="11">
        <f>アイスクリームの売り上げデータ!G350</f>
        <v>169</v>
      </c>
    </row>
    <row r="351" spans="2:4">
      <c r="B351" s="17">
        <f>アイスクリームの売り上げデータ!A351</f>
        <v>43814</v>
      </c>
      <c r="C351" s="22">
        <v>0</v>
      </c>
      <c r="D351" s="11">
        <f>アイスクリームの売り上げデータ!G351</f>
        <v>212</v>
      </c>
    </row>
    <row r="352" spans="2:4">
      <c r="B352" s="17">
        <f>アイスクリームの売り上げデータ!A352</f>
        <v>43815</v>
      </c>
      <c r="C352" s="22">
        <v>0</v>
      </c>
      <c r="D352" s="11">
        <f>アイスクリームの売り上げデータ!G352</f>
        <v>83</v>
      </c>
    </row>
    <row r="353" spans="2:4">
      <c r="B353" s="17">
        <f>アイスクリームの売り上げデータ!A353</f>
        <v>43816</v>
      </c>
      <c r="C353" s="22">
        <v>1</v>
      </c>
      <c r="D353" s="11">
        <f>アイスクリームの売り上げデータ!G353</f>
        <v>126</v>
      </c>
    </row>
    <row r="354" spans="2:4">
      <c r="B354" s="17">
        <f>アイスクリームの売り上げデータ!A354</f>
        <v>43817</v>
      </c>
      <c r="C354" s="22">
        <v>0</v>
      </c>
      <c r="D354" s="11">
        <f>アイスクリームの売り上げデータ!G354</f>
        <v>151</v>
      </c>
    </row>
    <row r="355" spans="2:4">
      <c r="B355" s="17">
        <f>アイスクリームの売り上げデータ!A355</f>
        <v>43818</v>
      </c>
      <c r="C355" s="22">
        <v>0</v>
      </c>
      <c r="D355" s="11">
        <f>アイスクリームの売り上げデータ!G355</f>
        <v>121</v>
      </c>
    </row>
    <row r="356" spans="2:4">
      <c r="B356" s="17">
        <f>アイスクリームの売り上げデータ!A356</f>
        <v>43819</v>
      </c>
      <c r="C356" s="22">
        <v>0</v>
      </c>
      <c r="D356" s="11">
        <f>アイスクリームの売り上げデータ!G356</f>
        <v>128</v>
      </c>
    </row>
    <row r="357" spans="2:4">
      <c r="B357" s="17">
        <f>アイスクリームの売り上げデータ!A357</f>
        <v>43820</v>
      </c>
      <c r="C357" s="22">
        <v>0</v>
      </c>
      <c r="D357" s="11">
        <f>アイスクリームの売り上げデータ!G357</f>
        <v>165</v>
      </c>
    </row>
    <row r="358" spans="2:4">
      <c r="B358" s="17">
        <f>アイスクリームの売り上げデータ!A358</f>
        <v>43821</v>
      </c>
      <c r="C358" s="22">
        <v>16.5</v>
      </c>
      <c r="D358" s="11">
        <f>アイスクリームの売り上げデータ!G358</f>
        <v>157</v>
      </c>
    </row>
    <row r="359" spans="2:4">
      <c r="B359" s="17">
        <f>アイスクリームの売り上げデータ!A359</f>
        <v>43822</v>
      </c>
      <c r="C359" s="22">
        <v>13.5</v>
      </c>
      <c r="D359" s="11">
        <f>アイスクリームの売り上げデータ!G359</f>
        <v>77</v>
      </c>
    </row>
    <row r="360" spans="2:4">
      <c r="B360" s="17">
        <f>アイスクリームの売り上げデータ!A360</f>
        <v>43823</v>
      </c>
      <c r="C360" s="22">
        <v>0</v>
      </c>
      <c r="D360" s="11">
        <f>アイスクリームの売り上げデータ!G360</f>
        <v>120</v>
      </c>
    </row>
    <row r="361" spans="2:4">
      <c r="B361" s="17">
        <f>アイスクリームの売り上げデータ!A361</f>
        <v>43824</v>
      </c>
      <c r="C361" s="22">
        <v>0</v>
      </c>
      <c r="D361" s="11">
        <f>アイスクリームの売り上げデータ!G361</f>
        <v>143</v>
      </c>
    </row>
    <row r="362" spans="2:4">
      <c r="B362" s="17">
        <f>アイスクリームの売り上げデータ!A362</f>
        <v>43825</v>
      </c>
      <c r="C362" s="22">
        <v>0</v>
      </c>
      <c r="D362" s="11">
        <f>アイスクリームの売り上げデータ!G362</f>
        <v>107</v>
      </c>
    </row>
    <row r="363" spans="2:4">
      <c r="B363" s="17">
        <f>アイスクリームの売り上げデータ!A363</f>
        <v>43826</v>
      </c>
      <c r="C363" s="22">
        <v>0.5</v>
      </c>
      <c r="D363" s="11">
        <f>アイスクリームの売り上げデータ!G363</f>
        <v>125</v>
      </c>
    </row>
    <row r="364" spans="2:4">
      <c r="B364" s="17">
        <f>アイスクリームの売り上げデータ!A364</f>
        <v>43827</v>
      </c>
      <c r="C364" s="22">
        <v>0</v>
      </c>
      <c r="D364" s="11">
        <f>アイスクリームの売り上げデータ!G364</f>
        <v>168</v>
      </c>
    </row>
    <row r="365" spans="2:4">
      <c r="B365" s="17">
        <f>アイスクリームの売り上げデータ!A365</f>
        <v>43828</v>
      </c>
      <c r="C365" s="22">
        <v>0</v>
      </c>
      <c r="D365" s="11">
        <f>アイスクリームの売り上げデータ!G365</f>
        <v>199</v>
      </c>
    </row>
    <row r="366" spans="2:4">
      <c r="B366" s="17">
        <f>アイスクリームの売り上げデータ!A366</f>
        <v>43829</v>
      </c>
      <c r="C366" s="22">
        <v>0.5</v>
      </c>
      <c r="D366" s="11">
        <f>アイスクリームの売り上げデータ!G366</f>
        <v>88</v>
      </c>
    </row>
    <row r="367" spans="2:4">
      <c r="B367" s="17">
        <f>アイスクリームの売り上げデータ!A367</f>
        <v>43830</v>
      </c>
      <c r="C367" s="22">
        <v>0</v>
      </c>
      <c r="D367" s="11">
        <f>アイスクリームの売り上げデータ!G367</f>
        <v>117</v>
      </c>
    </row>
  </sheetData>
  <phoneticPr fontId="4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40270-8887-324E-9A7B-347799CE6746}">
  <dimension ref="A2:K367"/>
  <sheetViews>
    <sheetView topLeftCell="D1" workbookViewId="0">
      <selection activeCell="K4" sqref="K4"/>
    </sheetView>
  </sheetViews>
  <sheetFormatPr baseColWidth="10" defaultRowHeight="16"/>
  <cols>
    <col min="1" max="1" width="19.5703125" customWidth="1"/>
    <col min="2" max="7" width="14.7109375" customWidth="1"/>
  </cols>
  <sheetData>
    <row r="2" spans="1:11" ht="17">
      <c r="I2" s="14" t="s">
        <v>46</v>
      </c>
      <c r="J2" s="14" t="s">
        <v>11</v>
      </c>
      <c r="K2" s="14" t="s">
        <v>45</v>
      </c>
    </row>
    <row r="3" spans="1:11" ht="17">
      <c r="B3" s="16" t="s">
        <v>44</v>
      </c>
      <c r="C3" s="25" t="s">
        <v>2</v>
      </c>
      <c r="D3" s="25" t="s">
        <v>4</v>
      </c>
      <c r="E3" s="25" t="s">
        <v>6</v>
      </c>
      <c r="F3" s="25" t="s">
        <v>8</v>
      </c>
      <c r="G3" s="25" t="s">
        <v>10</v>
      </c>
      <c r="I3" s="15">
        <f>アイスクリームの売り上げデータ!A3</f>
        <v>43466</v>
      </c>
      <c r="J3">
        <f>アイスクリームの売り上げデータ!B3</f>
        <v>3</v>
      </c>
      <c r="K3">
        <f>IF(OR(J3=1,J3=7),1,0)</f>
        <v>0</v>
      </c>
    </row>
    <row r="4" spans="1:11" ht="17">
      <c r="A4" s="23" t="s">
        <v>44</v>
      </c>
      <c r="B4" s="11">
        <f>CORREL(アイスクリームの売り上げデータ!$B3:$B367,アイスクリームの売り上げデータ!B3:B367)</f>
        <v>1</v>
      </c>
      <c r="C4" s="11">
        <f>CORREL(アイスクリームの売り上げデータ!$B3:$B367,アイスクリームの売り上げデータ!C3:C367)</f>
        <v>-7.2191367952016E-3</v>
      </c>
      <c r="D4" s="11">
        <f>CORREL(アイスクリームの売り上げデータ!$B3:$B367,アイスクリームの売り上げデータ!D3:D367)</f>
        <v>-1.4165838922229015E-2</v>
      </c>
      <c r="E4" s="11">
        <f>CORREL(アイスクリームの売り上げデータ!$B3:$B367,アイスクリームの売り上げデータ!E3:E367)</f>
        <v>3.433905933234281E-4</v>
      </c>
      <c r="F4" s="11">
        <f>CORREL(アイスクリームの売り上げデータ!$B3:$B367,アイスクリームの売り上げデータ!F3:F367)</f>
        <v>1.2552139489077187E-2</v>
      </c>
      <c r="G4" s="11">
        <f>CORREL(アイスクリームの売り上げデータ!$B3:$B367,アイスクリームの売り上げデータ!G3:G367)</f>
        <v>-9.9383887997711015E-2</v>
      </c>
      <c r="I4" s="15">
        <f>アイスクリームの売り上げデータ!A4</f>
        <v>43467</v>
      </c>
      <c r="J4">
        <f>アイスクリームの売り上げデータ!B4</f>
        <v>4</v>
      </c>
      <c r="K4">
        <f t="shared" ref="K4:K67" si="0">IF(OR(J4=1,J4=7),1,0)</f>
        <v>0</v>
      </c>
    </row>
    <row r="5" spans="1:11" ht="17">
      <c r="A5" s="24" t="s">
        <v>2</v>
      </c>
      <c r="B5" s="11">
        <f>CORREL(アイスクリームの売り上げデータ!$C3:$C367,アイスクリームの売り上げデータ!B3:B367)</f>
        <v>-7.2191367952016E-3</v>
      </c>
      <c r="C5" s="11">
        <f>CORREL(アイスクリームの売り上げデータ!$C3:$C367,アイスクリームの売り上げデータ!C3:C367)</f>
        <v>0.99999999999999989</v>
      </c>
      <c r="D5" s="11">
        <f>CORREL(アイスクリームの売り上げデータ!$C3:$C367,アイスクリームの売り上げデータ!D3:D367)</f>
        <v>0.9812075866824318</v>
      </c>
      <c r="E5" s="11">
        <f>CORREL(アイスクリームの売り上げデータ!$C3:$C367,アイスクリームの売り上げデータ!E3:E367)</f>
        <v>0.98098585217992129</v>
      </c>
      <c r="F5" s="11">
        <f>CORREL(アイスクリームの売り上げデータ!$C3:$C367,アイスクリームの売り上げデータ!F3:F367)</f>
        <v>5.9399856309163626E-2</v>
      </c>
      <c r="G5" s="11">
        <f>CORREL(アイスクリームの売り上げデータ!$C3:$C367,アイスクリームの売り上げデータ!G3:G367)</f>
        <v>0.57082458215972387</v>
      </c>
      <c r="I5" s="15">
        <f>アイスクリームの売り上げデータ!A5</f>
        <v>43468</v>
      </c>
      <c r="J5">
        <f>アイスクリームの売り上げデータ!B5</f>
        <v>5</v>
      </c>
      <c r="K5">
        <f t="shared" si="0"/>
        <v>0</v>
      </c>
    </row>
    <row r="6" spans="1:11" ht="17">
      <c r="A6" s="24" t="s">
        <v>4</v>
      </c>
      <c r="B6" s="11">
        <f>CORREL(アイスクリームの売り上げデータ!$D3:$D367,アイスクリームの売り上げデータ!B3:B367)</f>
        <v>-1.4165838922229015E-2</v>
      </c>
      <c r="C6" s="11">
        <f>CORREL(アイスクリームの売り上げデータ!$D3:$D367,アイスクリームの売り上げデータ!C3:C367)</f>
        <v>0.9812075866824318</v>
      </c>
      <c r="D6" s="11">
        <f>CORREL(アイスクリームの売り上げデータ!$D3:$D367,アイスクリームの売り上げデータ!D3:D367)</f>
        <v>1</v>
      </c>
      <c r="E6" s="11">
        <f>CORREL(アイスクリームの売り上げデータ!$D3:$D367,アイスクリームの売り上げデータ!E3:E367)</f>
        <v>0.93374872505635187</v>
      </c>
      <c r="F6" s="11">
        <f>CORREL(アイスクリームの売り上げデータ!$D3:$D367,アイスクリームの売り上げデータ!F3:F367)</f>
        <v>9.4211529282081981E-3</v>
      </c>
      <c r="G6" s="11">
        <f>CORREL(アイスクリームの売り上げデータ!$D3:$D367,アイスクリームの売り上げデータ!G3:G367)</f>
        <v>0.57899221315420046</v>
      </c>
      <c r="I6" s="15">
        <f>アイスクリームの売り上げデータ!A6</f>
        <v>43469</v>
      </c>
      <c r="J6">
        <f>アイスクリームの売り上げデータ!B6</f>
        <v>6</v>
      </c>
      <c r="K6">
        <f t="shared" si="0"/>
        <v>0</v>
      </c>
    </row>
    <row r="7" spans="1:11" ht="17">
      <c r="A7" s="24" t="s">
        <v>6</v>
      </c>
      <c r="B7" s="11">
        <f>CORREL(アイスクリームの売り上げデータ!$E3:$E367,アイスクリームの売り上げデータ!B3:B367)</f>
        <v>3.433905933234281E-4</v>
      </c>
      <c r="C7" s="11">
        <f>CORREL(アイスクリームの売り上げデータ!$E3:$E367,アイスクリームの売り上げデータ!C3:C367)</f>
        <v>0.98098585217992129</v>
      </c>
      <c r="D7" s="11">
        <f>CORREL(アイスクリームの売り上げデータ!$E3:$E367,アイスクリームの売り上げデータ!D3:D367)</f>
        <v>0.93374872505635187</v>
      </c>
      <c r="E7" s="11">
        <f>CORREL(アイスクリームの売り上げデータ!$E3:$E367,アイスクリームの売り上げデータ!E3:E367)</f>
        <v>1.0000000000000002</v>
      </c>
      <c r="F7" s="11">
        <f>CORREL(アイスクリームの売り上げデータ!$E3:$E367,アイスクリームの売り上げデータ!F3:F367)</f>
        <v>0.10305646864228409</v>
      </c>
      <c r="G7" s="11">
        <f>CORREL(アイスクリームの売り上げデータ!$E3:$E367,アイスクリームの売り上げデータ!G3:G367)</f>
        <v>0.54176918696407605</v>
      </c>
      <c r="I7" s="15">
        <f>アイスクリームの売り上げデータ!A7</f>
        <v>43470</v>
      </c>
      <c r="J7">
        <f>アイスクリームの売り上げデータ!B7</f>
        <v>7</v>
      </c>
      <c r="K7">
        <f t="shared" si="0"/>
        <v>1</v>
      </c>
    </row>
    <row r="8" spans="1:11" ht="17">
      <c r="A8" s="24" t="s">
        <v>8</v>
      </c>
      <c r="B8" s="11">
        <f>CORREL(アイスクリームの売り上げデータ!$F3:$F367,アイスクリームの売り上げデータ!B3:B367)</f>
        <v>1.2552139489077187E-2</v>
      </c>
      <c r="C8" s="11">
        <f>CORREL(アイスクリームの売り上げデータ!$F3:$F367,アイスクリームの売り上げデータ!C3:C367)</f>
        <v>5.9399856309163626E-2</v>
      </c>
      <c r="D8" s="11">
        <f>CORREL(アイスクリームの売り上げデータ!$F3:$F367,アイスクリームの売り上げデータ!D3:D367)</f>
        <v>9.4211529282081981E-3</v>
      </c>
      <c r="E8" s="11">
        <f>CORREL(アイスクリームの売り上げデータ!$F3:$F367,アイスクリームの売り上げデータ!E3:E367)</f>
        <v>0.10305646864228409</v>
      </c>
      <c r="F8" s="11">
        <f>CORREL(アイスクリームの売り上げデータ!$F3:$F367,アイスクリームの売り上げデータ!F3:F367)</f>
        <v>1</v>
      </c>
      <c r="G8" s="11">
        <f>CORREL(アイスクリームの売り上げデータ!$F3:$F367,アイスクリームの売り上げデータ!G3:G367)</f>
        <v>-0.36265194790429572</v>
      </c>
      <c r="I8" s="15">
        <f>アイスクリームの売り上げデータ!A8</f>
        <v>43471</v>
      </c>
      <c r="J8">
        <f>アイスクリームの売り上げデータ!B8</f>
        <v>1</v>
      </c>
      <c r="K8">
        <f t="shared" si="0"/>
        <v>1</v>
      </c>
    </row>
    <row r="9" spans="1:11" ht="17">
      <c r="A9" s="24" t="s">
        <v>10</v>
      </c>
      <c r="B9" s="11">
        <f>CORREL(アイスクリームの売り上げデータ!$G3:$G367,アイスクリームの売り上げデータ!B3:B367)</f>
        <v>-9.9383887997711015E-2</v>
      </c>
      <c r="C9" s="11">
        <f>CORREL(アイスクリームの売り上げデータ!$G3:$G367,アイスクリームの売り上げデータ!C3:C367)</f>
        <v>0.57082458215972387</v>
      </c>
      <c r="D9" s="11">
        <f>CORREL(アイスクリームの売り上げデータ!$G3:$G367,アイスクリームの売り上げデータ!D3:D367)</f>
        <v>0.57899221315420046</v>
      </c>
      <c r="E9" s="11">
        <f>CORREL(アイスクリームの売り上げデータ!$G3:$G367,アイスクリームの売り上げデータ!E3:E367)</f>
        <v>0.54176918696407605</v>
      </c>
      <c r="F9" s="11">
        <f>CORREL(アイスクリームの売り上げデータ!$G3:$G367,アイスクリームの売り上げデータ!F3:F367)</f>
        <v>-0.36265194790429572</v>
      </c>
      <c r="G9" s="11">
        <f>CORREL(アイスクリームの売り上げデータ!$G3:$G367,アイスクリームの売り上げデータ!G3:G367)</f>
        <v>1</v>
      </c>
      <c r="I9" s="15">
        <f>アイスクリームの売り上げデータ!A9</f>
        <v>43472</v>
      </c>
      <c r="J9">
        <f>アイスクリームの売り上げデータ!B9</f>
        <v>2</v>
      </c>
      <c r="K9">
        <f t="shared" si="0"/>
        <v>0</v>
      </c>
    </row>
    <row r="10" spans="1:11">
      <c r="I10" s="15">
        <f>アイスクリームの売り上げデータ!A10</f>
        <v>43473</v>
      </c>
      <c r="J10">
        <f>アイスクリームの売り上げデータ!B10</f>
        <v>3</v>
      </c>
      <c r="K10">
        <f t="shared" si="0"/>
        <v>0</v>
      </c>
    </row>
    <row r="11" spans="1:11" ht="17">
      <c r="A11" s="14" t="s">
        <v>47</v>
      </c>
      <c r="B11">
        <f>CORREL(相関係数!K3:K367,アイスクリームの売り上げデータ!G3:G367)</f>
        <v>0.59632817583235298</v>
      </c>
      <c r="I11" s="15">
        <f>アイスクリームの売り上げデータ!A11</f>
        <v>43474</v>
      </c>
      <c r="J11">
        <f>アイスクリームの売り上げデータ!B11</f>
        <v>4</v>
      </c>
      <c r="K11">
        <f t="shared" si="0"/>
        <v>0</v>
      </c>
    </row>
    <row r="12" spans="1:11">
      <c r="I12" s="15">
        <f>アイスクリームの売り上げデータ!A12</f>
        <v>43475</v>
      </c>
      <c r="J12">
        <f>アイスクリームの売り上げデータ!B12</f>
        <v>5</v>
      </c>
      <c r="K12">
        <f t="shared" si="0"/>
        <v>0</v>
      </c>
    </row>
    <row r="13" spans="1:11">
      <c r="I13" s="15">
        <f>アイスクリームの売り上げデータ!A13</f>
        <v>43476</v>
      </c>
      <c r="J13">
        <f>アイスクリームの売り上げデータ!B13</f>
        <v>6</v>
      </c>
      <c r="K13">
        <f t="shared" si="0"/>
        <v>0</v>
      </c>
    </row>
    <row r="14" spans="1:11">
      <c r="I14" s="15">
        <f>アイスクリームの売り上げデータ!A14</f>
        <v>43477</v>
      </c>
      <c r="J14">
        <f>アイスクリームの売り上げデータ!B14</f>
        <v>7</v>
      </c>
      <c r="K14">
        <f t="shared" si="0"/>
        <v>1</v>
      </c>
    </row>
    <row r="15" spans="1:11">
      <c r="I15" s="15">
        <f>アイスクリームの売り上げデータ!A15</f>
        <v>43478</v>
      </c>
      <c r="J15">
        <f>アイスクリームの売り上げデータ!B15</f>
        <v>1</v>
      </c>
      <c r="K15">
        <f t="shared" si="0"/>
        <v>1</v>
      </c>
    </row>
    <row r="16" spans="1:11">
      <c r="I16" s="15">
        <f>アイスクリームの売り上げデータ!A16</f>
        <v>43479</v>
      </c>
      <c r="J16">
        <f>アイスクリームの売り上げデータ!B16</f>
        <v>2</v>
      </c>
      <c r="K16">
        <f t="shared" si="0"/>
        <v>0</v>
      </c>
    </row>
    <row r="17" spans="9:11">
      <c r="I17" s="15">
        <f>アイスクリームの売り上げデータ!A17</f>
        <v>43480</v>
      </c>
      <c r="J17">
        <f>アイスクリームの売り上げデータ!B17</f>
        <v>3</v>
      </c>
      <c r="K17">
        <f t="shared" si="0"/>
        <v>0</v>
      </c>
    </row>
    <row r="18" spans="9:11">
      <c r="I18" s="15">
        <f>アイスクリームの売り上げデータ!A18</f>
        <v>43481</v>
      </c>
      <c r="J18">
        <f>アイスクリームの売り上げデータ!B18</f>
        <v>4</v>
      </c>
      <c r="K18">
        <f t="shared" si="0"/>
        <v>0</v>
      </c>
    </row>
    <row r="19" spans="9:11">
      <c r="I19" s="15">
        <f>アイスクリームの売り上げデータ!A19</f>
        <v>43482</v>
      </c>
      <c r="J19">
        <f>アイスクリームの売り上げデータ!B19</f>
        <v>5</v>
      </c>
      <c r="K19">
        <f t="shared" si="0"/>
        <v>0</v>
      </c>
    </row>
    <row r="20" spans="9:11">
      <c r="I20" s="15">
        <f>アイスクリームの売り上げデータ!A20</f>
        <v>43483</v>
      </c>
      <c r="J20">
        <f>アイスクリームの売り上げデータ!B20</f>
        <v>6</v>
      </c>
      <c r="K20">
        <f t="shared" si="0"/>
        <v>0</v>
      </c>
    </row>
    <row r="21" spans="9:11">
      <c r="I21" s="15">
        <f>アイスクリームの売り上げデータ!A21</f>
        <v>43484</v>
      </c>
      <c r="J21">
        <f>アイスクリームの売り上げデータ!B21</f>
        <v>7</v>
      </c>
      <c r="K21">
        <f t="shared" si="0"/>
        <v>1</v>
      </c>
    </row>
    <row r="22" spans="9:11">
      <c r="I22" s="15">
        <f>アイスクリームの売り上げデータ!A22</f>
        <v>43485</v>
      </c>
      <c r="J22">
        <f>アイスクリームの売り上げデータ!B22</f>
        <v>1</v>
      </c>
      <c r="K22">
        <f t="shared" si="0"/>
        <v>1</v>
      </c>
    </row>
    <row r="23" spans="9:11">
      <c r="I23" s="15">
        <f>アイスクリームの売り上げデータ!A23</f>
        <v>43486</v>
      </c>
      <c r="J23">
        <f>アイスクリームの売り上げデータ!B23</f>
        <v>2</v>
      </c>
      <c r="K23">
        <f t="shared" si="0"/>
        <v>0</v>
      </c>
    </row>
    <row r="24" spans="9:11">
      <c r="I24" s="15">
        <f>アイスクリームの売り上げデータ!A24</f>
        <v>43487</v>
      </c>
      <c r="J24">
        <f>アイスクリームの売り上げデータ!B24</f>
        <v>3</v>
      </c>
      <c r="K24">
        <f t="shared" si="0"/>
        <v>0</v>
      </c>
    </row>
    <row r="25" spans="9:11">
      <c r="I25" s="15">
        <f>アイスクリームの売り上げデータ!A25</f>
        <v>43488</v>
      </c>
      <c r="J25">
        <f>アイスクリームの売り上げデータ!B25</f>
        <v>4</v>
      </c>
      <c r="K25">
        <f t="shared" si="0"/>
        <v>0</v>
      </c>
    </row>
    <row r="26" spans="9:11">
      <c r="I26" s="15">
        <f>アイスクリームの売り上げデータ!A26</f>
        <v>43489</v>
      </c>
      <c r="J26">
        <f>アイスクリームの売り上げデータ!B26</f>
        <v>5</v>
      </c>
      <c r="K26">
        <f t="shared" si="0"/>
        <v>0</v>
      </c>
    </row>
    <row r="27" spans="9:11">
      <c r="I27" s="15">
        <f>アイスクリームの売り上げデータ!A27</f>
        <v>43490</v>
      </c>
      <c r="J27">
        <f>アイスクリームの売り上げデータ!B27</f>
        <v>6</v>
      </c>
      <c r="K27">
        <f t="shared" si="0"/>
        <v>0</v>
      </c>
    </row>
    <row r="28" spans="9:11">
      <c r="I28" s="15">
        <f>アイスクリームの売り上げデータ!A28</f>
        <v>43491</v>
      </c>
      <c r="J28">
        <f>アイスクリームの売り上げデータ!B28</f>
        <v>7</v>
      </c>
      <c r="K28">
        <f t="shared" si="0"/>
        <v>1</v>
      </c>
    </row>
    <row r="29" spans="9:11">
      <c r="I29" s="15">
        <f>アイスクリームの売り上げデータ!A29</f>
        <v>43492</v>
      </c>
      <c r="J29">
        <f>アイスクリームの売り上げデータ!B29</f>
        <v>1</v>
      </c>
      <c r="K29">
        <f t="shared" si="0"/>
        <v>1</v>
      </c>
    </row>
    <row r="30" spans="9:11">
      <c r="I30" s="15">
        <f>アイスクリームの売り上げデータ!A30</f>
        <v>43493</v>
      </c>
      <c r="J30">
        <f>アイスクリームの売り上げデータ!B30</f>
        <v>2</v>
      </c>
      <c r="K30">
        <f t="shared" si="0"/>
        <v>0</v>
      </c>
    </row>
    <row r="31" spans="9:11">
      <c r="I31" s="15">
        <f>アイスクリームの売り上げデータ!A31</f>
        <v>43494</v>
      </c>
      <c r="J31">
        <f>アイスクリームの売り上げデータ!B31</f>
        <v>3</v>
      </c>
      <c r="K31">
        <f t="shared" si="0"/>
        <v>0</v>
      </c>
    </row>
    <row r="32" spans="9:11">
      <c r="I32" s="15">
        <f>アイスクリームの売り上げデータ!A32</f>
        <v>43495</v>
      </c>
      <c r="J32">
        <f>アイスクリームの売り上げデータ!B32</f>
        <v>4</v>
      </c>
      <c r="K32">
        <f t="shared" si="0"/>
        <v>0</v>
      </c>
    </row>
    <row r="33" spans="9:11">
      <c r="I33" s="15">
        <f>アイスクリームの売り上げデータ!A33</f>
        <v>43496</v>
      </c>
      <c r="J33">
        <f>アイスクリームの売り上げデータ!B33</f>
        <v>5</v>
      </c>
      <c r="K33">
        <f t="shared" si="0"/>
        <v>0</v>
      </c>
    </row>
    <row r="34" spans="9:11">
      <c r="I34" s="15">
        <f>アイスクリームの売り上げデータ!A34</f>
        <v>43497</v>
      </c>
      <c r="J34">
        <f>アイスクリームの売り上げデータ!B34</f>
        <v>6</v>
      </c>
      <c r="K34">
        <f t="shared" si="0"/>
        <v>0</v>
      </c>
    </row>
    <row r="35" spans="9:11">
      <c r="I35" s="15">
        <f>アイスクリームの売り上げデータ!A35</f>
        <v>43498</v>
      </c>
      <c r="J35">
        <f>アイスクリームの売り上げデータ!B35</f>
        <v>7</v>
      </c>
      <c r="K35">
        <f t="shared" si="0"/>
        <v>1</v>
      </c>
    </row>
    <row r="36" spans="9:11">
      <c r="I36" s="15">
        <f>アイスクリームの売り上げデータ!A36</f>
        <v>43499</v>
      </c>
      <c r="J36">
        <f>アイスクリームの売り上げデータ!B36</f>
        <v>1</v>
      </c>
      <c r="K36">
        <f t="shared" si="0"/>
        <v>1</v>
      </c>
    </row>
    <row r="37" spans="9:11">
      <c r="I37" s="15">
        <f>アイスクリームの売り上げデータ!A37</f>
        <v>43500</v>
      </c>
      <c r="J37">
        <f>アイスクリームの売り上げデータ!B37</f>
        <v>2</v>
      </c>
      <c r="K37">
        <f t="shared" si="0"/>
        <v>0</v>
      </c>
    </row>
    <row r="38" spans="9:11">
      <c r="I38" s="15">
        <f>アイスクリームの売り上げデータ!A38</f>
        <v>43501</v>
      </c>
      <c r="J38">
        <f>アイスクリームの売り上げデータ!B38</f>
        <v>3</v>
      </c>
      <c r="K38">
        <f t="shared" si="0"/>
        <v>0</v>
      </c>
    </row>
    <row r="39" spans="9:11">
      <c r="I39" s="15">
        <f>アイスクリームの売り上げデータ!A39</f>
        <v>43502</v>
      </c>
      <c r="J39">
        <f>アイスクリームの売り上げデータ!B39</f>
        <v>4</v>
      </c>
      <c r="K39">
        <f t="shared" si="0"/>
        <v>0</v>
      </c>
    </row>
    <row r="40" spans="9:11">
      <c r="I40" s="15">
        <f>アイスクリームの売り上げデータ!A40</f>
        <v>43503</v>
      </c>
      <c r="J40">
        <f>アイスクリームの売り上げデータ!B40</f>
        <v>5</v>
      </c>
      <c r="K40">
        <f t="shared" si="0"/>
        <v>0</v>
      </c>
    </row>
    <row r="41" spans="9:11">
      <c r="I41" s="15">
        <f>アイスクリームの売り上げデータ!A41</f>
        <v>43504</v>
      </c>
      <c r="J41">
        <f>アイスクリームの売り上げデータ!B41</f>
        <v>6</v>
      </c>
      <c r="K41">
        <f t="shared" si="0"/>
        <v>0</v>
      </c>
    </row>
    <row r="42" spans="9:11">
      <c r="I42" s="15">
        <f>アイスクリームの売り上げデータ!A42</f>
        <v>43505</v>
      </c>
      <c r="J42">
        <f>アイスクリームの売り上げデータ!B42</f>
        <v>7</v>
      </c>
      <c r="K42">
        <f t="shared" si="0"/>
        <v>1</v>
      </c>
    </row>
    <row r="43" spans="9:11">
      <c r="I43" s="15">
        <f>アイスクリームの売り上げデータ!A43</f>
        <v>43506</v>
      </c>
      <c r="J43">
        <f>アイスクリームの売り上げデータ!B43</f>
        <v>1</v>
      </c>
      <c r="K43">
        <f t="shared" si="0"/>
        <v>1</v>
      </c>
    </row>
    <row r="44" spans="9:11">
      <c r="I44" s="15">
        <f>アイスクリームの売り上げデータ!A44</f>
        <v>43507</v>
      </c>
      <c r="J44">
        <f>アイスクリームの売り上げデータ!B44</f>
        <v>2</v>
      </c>
      <c r="K44">
        <f t="shared" si="0"/>
        <v>0</v>
      </c>
    </row>
    <row r="45" spans="9:11">
      <c r="I45" s="15">
        <f>アイスクリームの売り上げデータ!A45</f>
        <v>43508</v>
      </c>
      <c r="J45">
        <f>アイスクリームの売り上げデータ!B45</f>
        <v>3</v>
      </c>
      <c r="K45">
        <f t="shared" si="0"/>
        <v>0</v>
      </c>
    </row>
    <row r="46" spans="9:11">
      <c r="I46" s="15">
        <f>アイスクリームの売り上げデータ!A46</f>
        <v>43509</v>
      </c>
      <c r="J46">
        <f>アイスクリームの売り上げデータ!B46</f>
        <v>4</v>
      </c>
      <c r="K46">
        <f t="shared" si="0"/>
        <v>0</v>
      </c>
    </row>
    <row r="47" spans="9:11">
      <c r="I47" s="15">
        <f>アイスクリームの売り上げデータ!A47</f>
        <v>43510</v>
      </c>
      <c r="J47">
        <f>アイスクリームの売り上げデータ!B47</f>
        <v>5</v>
      </c>
      <c r="K47">
        <f t="shared" si="0"/>
        <v>0</v>
      </c>
    </row>
    <row r="48" spans="9:11">
      <c r="I48" s="15">
        <f>アイスクリームの売り上げデータ!A48</f>
        <v>43511</v>
      </c>
      <c r="J48">
        <f>アイスクリームの売り上げデータ!B48</f>
        <v>6</v>
      </c>
      <c r="K48">
        <f t="shared" si="0"/>
        <v>0</v>
      </c>
    </row>
    <row r="49" spans="9:11">
      <c r="I49" s="15">
        <f>アイスクリームの売り上げデータ!A49</f>
        <v>43512</v>
      </c>
      <c r="J49">
        <f>アイスクリームの売り上げデータ!B49</f>
        <v>7</v>
      </c>
      <c r="K49">
        <f t="shared" si="0"/>
        <v>1</v>
      </c>
    </row>
    <row r="50" spans="9:11">
      <c r="I50" s="15">
        <f>アイスクリームの売り上げデータ!A50</f>
        <v>43513</v>
      </c>
      <c r="J50">
        <f>アイスクリームの売り上げデータ!B50</f>
        <v>1</v>
      </c>
      <c r="K50">
        <f t="shared" si="0"/>
        <v>1</v>
      </c>
    </row>
    <row r="51" spans="9:11">
      <c r="I51" s="15">
        <f>アイスクリームの売り上げデータ!A51</f>
        <v>43514</v>
      </c>
      <c r="J51">
        <f>アイスクリームの売り上げデータ!B51</f>
        <v>2</v>
      </c>
      <c r="K51">
        <f t="shared" si="0"/>
        <v>0</v>
      </c>
    </row>
    <row r="52" spans="9:11">
      <c r="I52" s="15">
        <f>アイスクリームの売り上げデータ!A52</f>
        <v>43515</v>
      </c>
      <c r="J52">
        <f>アイスクリームの売り上げデータ!B52</f>
        <v>3</v>
      </c>
      <c r="K52">
        <f t="shared" si="0"/>
        <v>0</v>
      </c>
    </row>
    <row r="53" spans="9:11">
      <c r="I53" s="15">
        <f>アイスクリームの売り上げデータ!A53</f>
        <v>43516</v>
      </c>
      <c r="J53">
        <f>アイスクリームの売り上げデータ!B53</f>
        <v>4</v>
      </c>
      <c r="K53">
        <f t="shared" si="0"/>
        <v>0</v>
      </c>
    </row>
    <row r="54" spans="9:11">
      <c r="I54" s="15">
        <f>アイスクリームの売り上げデータ!A54</f>
        <v>43517</v>
      </c>
      <c r="J54">
        <f>アイスクリームの売り上げデータ!B54</f>
        <v>5</v>
      </c>
      <c r="K54">
        <f t="shared" si="0"/>
        <v>0</v>
      </c>
    </row>
    <row r="55" spans="9:11">
      <c r="I55" s="15">
        <f>アイスクリームの売り上げデータ!A55</f>
        <v>43518</v>
      </c>
      <c r="J55">
        <f>アイスクリームの売り上げデータ!B55</f>
        <v>6</v>
      </c>
      <c r="K55">
        <f t="shared" si="0"/>
        <v>0</v>
      </c>
    </row>
    <row r="56" spans="9:11">
      <c r="I56" s="15">
        <f>アイスクリームの売り上げデータ!A56</f>
        <v>43519</v>
      </c>
      <c r="J56">
        <f>アイスクリームの売り上げデータ!B56</f>
        <v>7</v>
      </c>
      <c r="K56">
        <f t="shared" si="0"/>
        <v>1</v>
      </c>
    </row>
    <row r="57" spans="9:11">
      <c r="I57" s="15">
        <f>アイスクリームの売り上げデータ!A57</f>
        <v>43520</v>
      </c>
      <c r="J57">
        <f>アイスクリームの売り上げデータ!B57</f>
        <v>1</v>
      </c>
      <c r="K57">
        <f t="shared" si="0"/>
        <v>1</v>
      </c>
    </row>
    <row r="58" spans="9:11">
      <c r="I58" s="15">
        <f>アイスクリームの売り上げデータ!A58</f>
        <v>43521</v>
      </c>
      <c r="J58">
        <f>アイスクリームの売り上げデータ!B58</f>
        <v>2</v>
      </c>
      <c r="K58">
        <f t="shared" si="0"/>
        <v>0</v>
      </c>
    </row>
    <row r="59" spans="9:11">
      <c r="I59" s="15">
        <f>アイスクリームの売り上げデータ!A59</f>
        <v>43522</v>
      </c>
      <c r="J59">
        <f>アイスクリームの売り上げデータ!B59</f>
        <v>3</v>
      </c>
      <c r="K59">
        <f t="shared" si="0"/>
        <v>0</v>
      </c>
    </row>
    <row r="60" spans="9:11">
      <c r="I60" s="15">
        <f>アイスクリームの売り上げデータ!A60</f>
        <v>43523</v>
      </c>
      <c r="J60">
        <f>アイスクリームの売り上げデータ!B60</f>
        <v>4</v>
      </c>
      <c r="K60">
        <f t="shared" si="0"/>
        <v>0</v>
      </c>
    </row>
    <row r="61" spans="9:11">
      <c r="I61" s="15">
        <f>アイスクリームの売り上げデータ!A61</f>
        <v>43524</v>
      </c>
      <c r="J61">
        <f>アイスクリームの売り上げデータ!B61</f>
        <v>5</v>
      </c>
      <c r="K61">
        <f t="shared" si="0"/>
        <v>0</v>
      </c>
    </row>
    <row r="62" spans="9:11">
      <c r="I62" s="15">
        <f>アイスクリームの売り上げデータ!A62</f>
        <v>43525</v>
      </c>
      <c r="J62">
        <f>アイスクリームの売り上げデータ!B62</f>
        <v>6</v>
      </c>
      <c r="K62">
        <f t="shared" si="0"/>
        <v>0</v>
      </c>
    </row>
    <row r="63" spans="9:11">
      <c r="I63" s="15">
        <f>アイスクリームの売り上げデータ!A63</f>
        <v>43526</v>
      </c>
      <c r="J63">
        <f>アイスクリームの売り上げデータ!B63</f>
        <v>7</v>
      </c>
      <c r="K63">
        <f t="shared" si="0"/>
        <v>1</v>
      </c>
    </row>
    <row r="64" spans="9:11">
      <c r="I64" s="15">
        <f>アイスクリームの売り上げデータ!A64</f>
        <v>43527</v>
      </c>
      <c r="J64">
        <f>アイスクリームの売り上げデータ!B64</f>
        <v>1</v>
      </c>
      <c r="K64">
        <f t="shared" si="0"/>
        <v>1</v>
      </c>
    </row>
    <row r="65" spans="9:11">
      <c r="I65" s="15">
        <f>アイスクリームの売り上げデータ!A65</f>
        <v>43528</v>
      </c>
      <c r="J65">
        <f>アイスクリームの売り上げデータ!B65</f>
        <v>2</v>
      </c>
      <c r="K65">
        <f t="shared" si="0"/>
        <v>0</v>
      </c>
    </row>
    <row r="66" spans="9:11">
      <c r="I66" s="15">
        <f>アイスクリームの売り上げデータ!A66</f>
        <v>43529</v>
      </c>
      <c r="J66">
        <f>アイスクリームの売り上げデータ!B66</f>
        <v>3</v>
      </c>
      <c r="K66">
        <f t="shared" si="0"/>
        <v>0</v>
      </c>
    </row>
    <row r="67" spans="9:11">
      <c r="I67" s="15">
        <f>アイスクリームの売り上げデータ!A67</f>
        <v>43530</v>
      </c>
      <c r="J67">
        <f>アイスクリームの売り上げデータ!B67</f>
        <v>4</v>
      </c>
      <c r="K67">
        <f t="shared" si="0"/>
        <v>0</v>
      </c>
    </row>
    <row r="68" spans="9:11">
      <c r="I68" s="15">
        <f>アイスクリームの売り上げデータ!A68</f>
        <v>43531</v>
      </c>
      <c r="J68">
        <f>アイスクリームの売り上げデータ!B68</f>
        <v>5</v>
      </c>
      <c r="K68">
        <f t="shared" ref="K68:K131" si="1">IF(OR(J68=1,J68=7),1,0)</f>
        <v>0</v>
      </c>
    </row>
    <row r="69" spans="9:11">
      <c r="I69" s="15">
        <f>アイスクリームの売り上げデータ!A69</f>
        <v>43532</v>
      </c>
      <c r="J69">
        <f>アイスクリームの売り上げデータ!B69</f>
        <v>6</v>
      </c>
      <c r="K69">
        <f t="shared" si="1"/>
        <v>0</v>
      </c>
    </row>
    <row r="70" spans="9:11">
      <c r="I70" s="15">
        <f>アイスクリームの売り上げデータ!A70</f>
        <v>43533</v>
      </c>
      <c r="J70">
        <f>アイスクリームの売り上げデータ!B70</f>
        <v>7</v>
      </c>
      <c r="K70">
        <f t="shared" si="1"/>
        <v>1</v>
      </c>
    </row>
    <row r="71" spans="9:11">
      <c r="I71" s="15">
        <f>アイスクリームの売り上げデータ!A71</f>
        <v>43534</v>
      </c>
      <c r="J71">
        <f>アイスクリームの売り上げデータ!B71</f>
        <v>1</v>
      </c>
      <c r="K71">
        <f t="shared" si="1"/>
        <v>1</v>
      </c>
    </row>
    <row r="72" spans="9:11">
      <c r="I72" s="15">
        <f>アイスクリームの売り上げデータ!A72</f>
        <v>43535</v>
      </c>
      <c r="J72">
        <f>アイスクリームの売り上げデータ!B72</f>
        <v>2</v>
      </c>
      <c r="K72">
        <f t="shared" si="1"/>
        <v>0</v>
      </c>
    </row>
    <row r="73" spans="9:11">
      <c r="I73" s="15">
        <f>アイスクリームの売り上げデータ!A73</f>
        <v>43536</v>
      </c>
      <c r="J73">
        <f>アイスクリームの売り上げデータ!B73</f>
        <v>3</v>
      </c>
      <c r="K73">
        <f t="shared" si="1"/>
        <v>0</v>
      </c>
    </row>
    <row r="74" spans="9:11">
      <c r="I74" s="15">
        <f>アイスクリームの売り上げデータ!A74</f>
        <v>43537</v>
      </c>
      <c r="J74">
        <f>アイスクリームの売り上げデータ!B74</f>
        <v>4</v>
      </c>
      <c r="K74">
        <f t="shared" si="1"/>
        <v>0</v>
      </c>
    </row>
    <row r="75" spans="9:11">
      <c r="I75" s="15">
        <f>アイスクリームの売り上げデータ!A75</f>
        <v>43538</v>
      </c>
      <c r="J75">
        <f>アイスクリームの売り上げデータ!B75</f>
        <v>5</v>
      </c>
      <c r="K75">
        <f t="shared" si="1"/>
        <v>0</v>
      </c>
    </row>
    <row r="76" spans="9:11">
      <c r="I76" s="15">
        <f>アイスクリームの売り上げデータ!A76</f>
        <v>43539</v>
      </c>
      <c r="J76">
        <f>アイスクリームの売り上げデータ!B76</f>
        <v>6</v>
      </c>
      <c r="K76">
        <f t="shared" si="1"/>
        <v>0</v>
      </c>
    </row>
    <row r="77" spans="9:11">
      <c r="I77" s="15">
        <f>アイスクリームの売り上げデータ!A77</f>
        <v>43540</v>
      </c>
      <c r="J77">
        <f>アイスクリームの売り上げデータ!B77</f>
        <v>7</v>
      </c>
      <c r="K77">
        <f t="shared" si="1"/>
        <v>1</v>
      </c>
    </row>
    <row r="78" spans="9:11">
      <c r="I78" s="15">
        <f>アイスクリームの売り上げデータ!A78</f>
        <v>43541</v>
      </c>
      <c r="J78">
        <f>アイスクリームの売り上げデータ!B78</f>
        <v>1</v>
      </c>
      <c r="K78">
        <f t="shared" si="1"/>
        <v>1</v>
      </c>
    </row>
    <row r="79" spans="9:11">
      <c r="I79" s="15">
        <f>アイスクリームの売り上げデータ!A79</f>
        <v>43542</v>
      </c>
      <c r="J79">
        <f>アイスクリームの売り上げデータ!B79</f>
        <v>2</v>
      </c>
      <c r="K79">
        <f t="shared" si="1"/>
        <v>0</v>
      </c>
    </row>
    <row r="80" spans="9:11">
      <c r="I80" s="15">
        <f>アイスクリームの売り上げデータ!A80</f>
        <v>43543</v>
      </c>
      <c r="J80">
        <f>アイスクリームの売り上げデータ!B80</f>
        <v>3</v>
      </c>
      <c r="K80">
        <f t="shared" si="1"/>
        <v>0</v>
      </c>
    </row>
    <row r="81" spans="9:11">
      <c r="I81" s="15">
        <f>アイスクリームの売り上げデータ!A81</f>
        <v>43544</v>
      </c>
      <c r="J81">
        <f>アイスクリームの売り上げデータ!B81</f>
        <v>4</v>
      </c>
      <c r="K81">
        <f t="shared" si="1"/>
        <v>0</v>
      </c>
    </row>
    <row r="82" spans="9:11">
      <c r="I82" s="15">
        <f>アイスクリームの売り上げデータ!A82</f>
        <v>43545</v>
      </c>
      <c r="J82">
        <f>アイスクリームの売り上げデータ!B82</f>
        <v>5</v>
      </c>
      <c r="K82">
        <f t="shared" si="1"/>
        <v>0</v>
      </c>
    </row>
    <row r="83" spans="9:11">
      <c r="I83" s="15">
        <f>アイスクリームの売り上げデータ!A83</f>
        <v>43546</v>
      </c>
      <c r="J83">
        <f>アイスクリームの売り上げデータ!B83</f>
        <v>6</v>
      </c>
      <c r="K83">
        <f t="shared" si="1"/>
        <v>0</v>
      </c>
    </row>
    <row r="84" spans="9:11">
      <c r="I84" s="15">
        <f>アイスクリームの売り上げデータ!A84</f>
        <v>43547</v>
      </c>
      <c r="J84">
        <f>アイスクリームの売り上げデータ!B84</f>
        <v>7</v>
      </c>
      <c r="K84">
        <f t="shared" si="1"/>
        <v>1</v>
      </c>
    </row>
    <row r="85" spans="9:11">
      <c r="I85" s="15">
        <f>アイスクリームの売り上げデータ!A85</f>
        <v>43548</v>
      </c>
      <c r="J85">
        <f>アイスクリームの売り上げデータ!B85</f>
        <v>1</v>
      </c>
      <c r="K85">
        <f t="shared" si="1"/>
        <v>1</v>
      </c>
    </row>
    <row r="86" spans="9:11">
      <c r="I86" s="15">
        <f>アイスクリームの売り上げデータ!A86</f>
        <v>43549</v>
      </c>
      <c r="J86">
        <f>アイスクリームの売り上げデータ!B86</f>
        <v>2</v>
      </c>
      <c r="K86">
        <f t="shared" si="1"/>
        <v>0</v>
      </c>
    </row>
    <row r="87" spans="9:11">
      <c r="I87" s="15">
        <f>アイスクリームの売り上げデータ!A87</f>
        <v>43550</v>
      </c>
      <c r="J87">
        <f>アイスクリームの売り上げデータ!B87</f>
        <v>3</v>
      </c>
      <c r="K87">
        <f t="shared" si="1"/>
        <v>0</v>
      </c>
    </row>
    <row r="88" spans="9:11">
      <c r="I88" s="15">
        <f>アイスクリームの売り上げデータ!A88</f>
        <v>43551</v>
      </c>
      <c r="J88">
        <f>アイスクリームの売り上げデータ!B88</f>
        <v>4</v>
      </c>
      <c r="K88">
        <f t="shared" si="1"/>
        <v>0</v>
      </c>
    </row>
    <row r="89" spans="9:11">
      <c r="I89" s="15">
        <f>アイスクリームの売り上げデータ!A89</f>
        <v>43552</v>
      </c>
      <c r="J89">
        <f>アイスクリームの売り上げデータ!B89</f>
        <v>5</v>
      </c>
      <c r="K89">
        <f t="shared" si="1"/>
        <v>0</v>
      </c>
    </row>
    <row r="90" spans="9:11">
      <c r="I90" s="15">
        <f>アイスクリームの売り上げデータ!A90</f>
        <v>43553</v>
      </c>
      <c r="J90">
        <f>アイスクリームの売り上げデータ!B90</f>
        <v>6</v>
      </c>
      <c r="K90">
        <f t="shared" si="1"/>
        <v>0</v>
      </c>
    </row>
    <row r="91" spans="9:11">
      <c r="I91" s="15">
        <f>アイスクリームの売り上げデータ!A91</f>
        <v>43554</v>
      </c>
      <c r="J91">
        <f>アイスクリームの売り上げデータ!B91</f>
        <v>7</v>
      </c>
      <c r="K91">
        <f t="shared" si="1"/>
        <v>1</v>
      </c>
    </row>
    <row r="92" spans="9:11">
      <c r="I92" s="15">
        <f>アイスクリームの売り上げデータ!A92</f>
        <v>43555</v>
      </c>
      <c r="J92">
        <f>アイスクリームの売り上げデータ!B92</f>
        <v>1</v>
      </c>
      <c r="K92">
        <f t="shared" si="1"/>
        <v>1</v>
      </c>
    </row>
    <row r="93" spans="9:11">
      <c r="I93" s="15">
        <f>アイスクリームの売り上げデータ!A93</f>
        <v>43556</v>
      </c>
      <c r="J93">
        <f>アイスクリームの売り上げデータ!B93</f>
        <v>2</v>
      </c>
      <c r="K93">
        <f t="shared" si="1"/>
        <v>0</v>
      </c>
    </row>
    <row r="94" spans="9:11">
      <c r="I94" s="15">
        <f>アイスクリームの売り上げデータ!A94</f>
        <v>43557</v>
      </c>
      <c r="J94">
        <f>アイスクリームの売り上げデータ!B94</f>
        <v>3</v>
      </c>
      <c r="K94">
        <f t="shared" si="1"/>
        <v>0</v>
      </c>
    </row>
    <row r="95" spans="9:11">
      <c r="I95" s="15">
        <f>アイスクリームの売り上げデータ!A95</f>
        <v>43558</v>
      </c>
      <c r="J95">
        <f>アイスクリームの売り上げデータ!B95</f>
        <v>4</v>
      </c>
      <c r="K95">
        <f t="shared" si="1"/>
        <v>0</v>
      </c>
    </row>
    <row r="96" spans="9:11">
      <c r="I96" s="15">
        <f>アイスクリームの売り上げデータ!A96</f>
        <v>43559</v>
      </c>
      <c r="J96">
        <f>アイスクリームの売り上げデータ!B96</f>
        <v>5</v>
      </c>
      <c r="K96">
        <f t="shared" si="1"/>
        <v>0</v>
      </c>
    </row>
    <row r="97" spans="9:11">
      <c r="I97" s="15">
        <f>アイスクリームの売り上げデータ!A97</f>
        <v>43560</v>
      </c>
      <c r="J97">
        <f>アイスクリームの売り上げデータ!B97</f>
        <v>6</v>
      </c>
      <c r="K97">
        <f t="shared" si="1"/>
        <v>0</v>
      </c>
    </row>
    <row r="98" spans="9:11">
      <c r="I98" s="15">
        <f>アイスクリームの売り上げデータ!A98</f>
        <v>43561</v>
      </c>
      <c r="J98">
        <f>アイスクリームの売り上げデータ!B98</f>
        <v>7</v>
      </c>
      <c r="K98">
        <f t="shared" si="1"/>
        <v>1</v>
      </c>
    </row>
    <row r="99" spans="9:11">
      <c r="I99" s="15">
        <f>アイスクリームの売り上げデータ!A99</f>
        <v>43562</v>
      </c>
      <c r="J99">
        <f>アイスクリームの売り上げデータ!B99</f>
        <v>1</v>
      </c>
      <c r="K99">
        <f t="shared" si="1"/>
        <v>1</v>
      </c>
    </row>
    <row r="100" spans="9:11">
      <c r="I100" s="15">
        <f>アイスクリームの売り上げデータ!A100</f>
        <v>43563</v>
      </c>
      <c r="J100">
        <f>アイスクリームの売り上げデータ!B100</f>
        <v>2</v>
      </c>
      <c r="K100">
        <f t="shared" si="1"/>
        <v>0</v>
      </c>
    </row>
    <row r="101" spans="9:11">
      <c r="I101" s="15">
        <f>アイスクリームの売り上げデータ!A101</f>
        <v>43564</v>
      </c>
      <c r="J101">
        <f>アイスクリームの売り上げデータ!B101</f>
        <v>3</v>
      </c>
      <c r="K101">
        <f t="shared" si="1"/>
        <v>0</v>
      </c>
    </row>
    <row r="102" spans="9:11">
      <c r="I102" s="15">
        <f>アイスクリームの売り上げデータ!A102</f>
        <v>43565</v>
      </c>
      <c r="J102">
        <f>アイスクリームの売り上げデータ!B102</f>
        <v>4</v>
      </c>
      <c r="K102">
        <f t="shared" si="1"/>
        <v>0</v>
      </c>
    </row>
    <row r="103" spans="9:11">
      <c r="I103" s="15">
        <f>アイスクリームの売り上げデータ!A103</f>
        <v>43566</v>
      </c>
      <c r="J103">
        <f>アイスクリームの売り上げデータ!B103</f>
        <v>5</v>
      </c>
      <c r="K103">
        <f t="shared" si="1"/>
        <v>0</v>
      </c>
    </row>
    <row r="104" spans="9:11">
      <c r="I104" s="15">
        <f>アイスクリームの売り上げデータ!A104</f>
        <v>43567</v>
      </c>
      <c r="J104">
        <f>アイスクリームの売り上げデータ!B104</f>
        <v>6</v>
      </c>
      <c r="K104">
        <f t="shared" si="1"/>
        <v>0</v>
      </c>
    </row>
    <row r="105" spans="9:11">
      <c r="I105" s="15">
        <f>アイスクリームの売り上げデータ!A105</f>
        <v>43568</v>
      </c>
      <c r="J105">
        <f>アイスクリームの売り上げデータ!B105</f>
        <v>7</v>
      </c>
      <c r="K105">
        <f t="shared" si="1"/>
        <v>1</v>
      </c>
    </row>
    <row r="106" spans="9:11">
      <c r="I106" s="15">
        <f>アイスクリームの売り上げデータ!A106</f>
        <v>43569</v>
      </c>
      <c r="J106">
        <f>アイスクリームの売り上げデータ!B106</f>
        <v>1</v>
      </c>
      <c r="K106">
        <f t="shared" si="1"/>
        <v>1</v>
      </c>
    </row>
    <row r="107" spans="9:11">
      <c r="I107" s="15">
        <f>アイスクリームの売り上げデータ!A107</f>
        <v>43570</v>
      </c>
      <c r="J107">
        <f>アイスクリームの売り上げデータ!B107</f>
        <v>2</v>
      </c>
      <c r="K107">
        <f t="shared" si="1"/>
        <v>0</v>
      </c>
    </row>
    <row r="108" spans="9:11">
      <c r="I108" s="15">
        <f>アイスクリームの売り上げデータ!A108</f>
        <v>43571</v>
      </c>
      <c r="J108">
        <f>アイスクリームの売り上げデータ!B108</f>
        <v>3</v>
      </c>
      <c r="K108">
        <f t="shared" si="1"/>
        <v>0</v>
      </c>
    </row>
    <row r="109" spans="9:11">
      <c r="I109" s="15">
        <f>アイスクリームの売り上げデータ!A109</f>
        <v>43572</v>
      </c>
      <c r="J109">
        <f>アイスクリームの売り上げデータ!B109</f>
        <v>4</v>
      </c>
      <c r="K109">
        <f t="shared" si="1"/>
        <v>0</v>
      </c>
    </row>
    <row r="110" spans="9:11">
      <c r="I110" s="15">
        <f>アイスクリームの売り上げデータ!A110</f>
        <v>43573</v>
      </c>
      <c r="J110">
        <f>アイスクリームの売り上げデータ!B110</f>
        <v>5</v>
      </c>
      <c r="K110">
        <f t="shared" si="1"/>
        <v>0</v>
      </c>
    </row>
    <row r="111" spans="9:11">
      <c r="I111" s="15">
        <f>アイスクリームの売り上げデータ!A111</f>
        <v>43574</v>
      </c>
      <c r="J111">
        <f>アイスクリームの売り上げデータ!B111</f>
        <v>6</v>
      </c>
      <c r="K111">
        <f t="shared" si="1"/>
        <v>0</v>
      </c>
    </row>
    <row r="112" spans="9:11">
      <c r="I112" s="15">
        <f>アイスクリームの売り上げデータ!A112</f>
        <v>43575</v>
      </c>
      <c r="J112">
        <f>アイスクリームの売り上げデータ!B112</f>
        <v>7</v>
      </c>
      <c r="K112">
        <f t="shared" si="1"/>
        <v>1</v>
      </c>
    </row>
    <row r="113" spans="9:11">
      <c r="I113" s="15">
        <f>アイスクリームの売り上げデータ!A113</f>
        <v>43576</v>
      </c>
      <c r="J113">
        <f>アイスクリームの売り上げデータ!B113</f>
        <v>1</v>
      </c>
      <c r="K113">
        <f t="shared" si="1"/>
        <v>1</v>
      </c>
    </row>
    <row r="114" spans="9:11">
      <c r="I114" s="15">
        <f>アイスクリームの売り上げデータ!A114</f>
        <v>43577</v>
      </c>
      <c r="J114">
        <f>アイスクリームの売り上げデータ!B114</f>
        <v>2</v>
      </c>
      <c r="K114">
        <f t="shared" si="1"/>
        <v>0</v>
      </c>
    </row>
    <row r="115" spans="9:11">
      <c r="I115" s="15">
        <f>アイスクリームの売り上げデータ!A115</f>
        <v>43578</v>
      </c>
      <c r="J115">
        <f>アイスクリームの売り上げデータ!B115</f>
        <v>3</v>
      </c>
      <c r="K115">
        <f t="shared" si="1"/>
        <v>0</v>
      </c>
    </row>
    <row r="116" spans="9:11">
      <c r="I116" s="15">
        <f>アイスクリームの売り上げデータ!A116</f>
        <v>43579</v>
      </c>
      <c r="J116">
        <f>アイスクリームの売り上げデータ!B116</f>
        <v>4</v>
      </c>
      <c r="K116">
        <f t="shared" si="1"/>
        <v>0</v>
      </c>
    </row>
    <row r="117" spans="9:11">
      <c r="I117" s="15">
        <f>アイスクリームの売り上げデータ!A117</f>
        <v>43580</v>
      </c>
      <c r="J117">
        <f>アイスクリームの売り上げデータ!B117</f>
        <v>5</v>
      </c>
      <c r="K117">
        <f t="shared" si="1"/>
        <v>0</v>
      </c>
    </row>
    <row r="118" spans="9:11">
      <c r="I118" s="15">
        <f>アイスクリームの売り上げデータ!A118</f>
        <v>43581</v>
      </c>
      <c r="J118">
        <f>アイスクリームの売り上げデータ!B118</f>
        <v>6</v>
      </c>
      <c r="K118">
        <f t="shared" si="1"/>
        <v>0</v>
      </c>
    </row>
    <row r="119" spans="9:11">
      <c r="I119" s="15">
        <f>アイスクリームの売り上げデータ!A119</f>
        <v>43582</v>
      </c>
      <c r="J119">
        <f>アイスクリームの売り上げデータ!B119</f>
        <v>7</v>
      </c>
      <c r="K119">
        <f t="shared" si="1"/>
        <v>1</v>
      </c>
    </row>
    <row r="120" spans="9:11">
      <c r="I120" s="15">
        <f>アイスクリームの売り上げデータ!A120</f>
        <v>43583</v>
      </c>
      <c r="J120">
        <f>アイスクリームの売り上げデータ!B120</f>
        <v>1</v>
      </c>
      <c r="K120">
        <f t="shared" si="1"/>
        <v>1</v>
      </c>
    </row>
    <row r="121" spans="9:11">
      <c r="I121" s="15">
        <f>アイスクリームの売り上げデータ!A121</f>
        <v>43584</v>
      </c>
      <c r="J121">
        <f>アイスクリームの売り上げデータ!B121</f>
        <v>2</v>
      </c>
      <c r="K121">
        <f t="shared" si="1"/>
        <v>0</v>
      </c>
    </row>
    <row r="122" spans="9:11">
      <c r="I122" s="15">
        <f>アイスクリームの売り上げデータ!A122</f>
        <v>43585</v>
      </c>
      <c r="J122">
        <f>アイスクリームの売り上げデータ!B122</f>
        <v>3</v>
      </c>
      <c r="K122">
        <f t="shared" si="1"/>
        <v>0</v>
      </c>
    </row>
    <row r="123" spans="9:11">
      <c r="I123" s="15">
        <f>アイスクリームの売り上げデータ!A123</f>
        <v>43586</v>
      </c>
      <c r="J123">
        <f>アイスクリームの売り上げデータ!B123</f>
        <v>4</v>
      </c>
      <c r="K123">
        <f t="shared" si="1"/>
        <v>0</v>
      </c>
    </row>
    <row r="124" spans="9:11">
      <c r="I124" s="15">
        <f>アイスクリームの売り上げデータ!A124</f>
        <v>43587</v>
      </c>
      <c r="J124">
        <f>アイスクリームの売り上げデータ!B124</f>
        <v>5</v>
      </c>
      <c r="K124">
        <f t="shared" si="1"/>
        <v>0</v>
      </c>
    </row>
    <row r="125" spans="9:11">
      <c r="I125" s="15">
        <f>アイスクリームの売り上げデータ!A125</f>
        <v>43588</v>
      </c>
      <c r="J125">
        <f>アイスクリームの売り上げデータ!B125</f>
        <v>6</v>
      </c>
      <c r="K125">
        <f t="shared" si="1"/>
        <v>0</v>
      </c>
    </row>
    <row r="126" spans="9:11">
      <c r="I126" s="15">
        <f>アイスクリームの売り上げデータ!A126</f>
        <v>43589</v>
      </c>
      <c r="J126">
        <f>アイスクリームの売り上げデータ!B126</f>
        <v>7</v>
      </c>
      <c r="K126">
        <f t="shared" si="1"/>
        <v>1</v>
      </c>
    </row>
    <row r="127" spans="9:11">
      <c r="I127" s="15">
        <f>アイスクリームの売り上げデータ!A127</f>
        <v>43590</v>
      </c>
      <c r="J127">
        <f>アイスクリームの売り上げデータ!B127</f>
        <v>1</v>
      </c>
      <c r="K127">
        <f t="shared" si="1"/>
        <v>1</v>
      </c>
    </row>
    <row r="128" spans="9:11">
      <c r="I128" s="15">
        <f>アイスクリームの売り上げデータ!A128</f>
        <v>43591</v>
      </c>
      <c r="J128">
        <f>アイスクリームの売り上げデータ!B128</f>
        <v>2</v>
      </c>
      <c r="K128">
        <f t="shared" si="1"/>
        <v>0</v>
      </c>
    </row>
    <row r="129" spans="9:11">
      <c r="I129" s="15">
        <f>アイスクリームの売り上げデータ!A129</f>
        <v>43592</v>
      </c>
      <c r="J129">
        <f>アイスクリームの売り上げデータ!B129</f>
        <v>3</v>
      </c>
      <c r="K129">
        <f t="shared" si="1"/>
        <v>0</v>
      </c>
    </row>
    <row r="130" spans="9:11">
      <c r="I130" s="15">
        <f>アイスクリームの売り上げデータ!A130</f>
        <v>43593</v>
      </c>
      <c r="J130">
        <f>アイスクリームの売り上げデータ!B130</f>
        <v>4</v>
      </c>
      <c r="K130">
        <f t="shared" si="1"/>
        <v>0</v>
      </c>
    </row>
    <row r="131" spans="9:11">
      <c r="I131" s="15">
        <f>アイスクリームの売り上げデータ!A131</f>
        <v>43594</v>
      </c>
      <c r="J131">
        <f>アイスクリームの売り上げデータ!B131</f>
        <v>5</v>
      </c>
      <c r="K131">
        <f t="shared" si="1"/>
        <v>0</v>
      </c>
    </row>
    <row r="132" spans="9:11">
      <c r="I132" s="15">
        <f>アイスクリームの売り上げデータ!A132</f>
        <v>43595</v>
      </c>
      <c r="J132">
        <f>アイスクリームの売り上げデータ!B132</f>
        <v>6</v>
      </c>
      <c r="K132">
        <f t="shared" ref="K132:K195" si="2">IF(OR(J132=1,J132=7),1,0)</f>
        <v>0</v>
      </c>
    </row>
    <row r="133" spans="9:11">
      <c r="I133" s="15">
        <f>アイスクリームの売り上げデータ!A133</f>
        <v>43596</v>
      </c>
      <c r="J133">
        <f>アイスクリームの売り上げデータ!B133</f>
        <v>7</v>
      </c>
      <c r="K133">
        <f t="shared" si="2"/>
        <v>1</v>
      </c>
    </row>
    <row r="134" spans="9:11">
      <c r="I134" s="15">
        <f>アイスクリームの売り上げデータ!A134</f>
        <v>43597</v>
      </c>
      <c r="J134">
        <f>アイスクリームの売り上げデータ!B134</f>
        <v>1</v>
      </c>
      <c r="K134">
        <f t="shared" si="2"/>
        <v>1</v>
      </c>
    </row>
    <row r="135" spans="9:11">
      <c r="I135" s="15">
        <f>アイスクリームの売り上げデータ!A135</f>
        <v>43598</v>
      </c>
      <c r="J135">
        <f>アイスクリームの売り上げデータ!B135</f>
        <v>2</v>
      </c>
      <c r="K135">
        <f t="shared" si="2"/>
        <v>0</v>
      </c>
    </row>
    <row r="136" spans="9:11">
      <c r="I136" s="15">
        <f>アイスクリームの売り上げデータ!A136</f>
        <v>43599</v>
      </c>
      <c r="J136">
        <f>アイスクリームの売り上げデータ!B136</f>
        <v>3</v>
      </c>
      <c r="K136">
        <f t="shared" si="2"/>
        <v>0</v>
      </c>
    </row>
    <row r="137" spans="9:11">
      <c r="I137" s="15">
        <f>アイスクリームの売り上げデータ!A137</f>
        <v>43600</v>
      </c>
      <c r="J137">
        <f>アイスクリームの売り上げデータ!B137</f>
        <v>4</v>
      </c>
      <c r="K137">
        <f t="shared" si="2"/>
        <v>0</v>
      </c>
    </row>
    <row r="138" spans="9:11">
      <c r="I138" s="15">
        <f>アイスクリームの売り上げデータ!A138</f>
        <v>43601</v>
      </c>
      <c r="J138">
        <f>アイスクリームの売り上げデータ!B138</f>
        <v>5</v>
      </c>
      <c r="K138">
        <f t="shared" si="2"/>
        <v>0</v>
      </c>
    </row>
    <row r="139" spans="9:11">
      <c r="I139" s="15">
        <f>アイスクリームの売り上げデータ!A139</f>
        <v>43602</v>
      </c>
      <c r="J139">
        <f>アイスクリームの売り上げデータ!B139</f>
        <v>6</v>
      </c>
      <c r="K139">
        <f t="shared" si="2"/>
        <v>0</v>
      </c>
    </row>
    <row r="140" spans="9:11">
      <c r="I140" s="15">
        <f>アイスクリームの売り上げデータ!A140</f>
        <v>43603</v>
      </c>
      <c r="J140">
        <f>アイスクリームの売り上げデータ!B140</f>
        <v>7</v>
      </c>
      <c r="K140">
        <f t="shared" si="2"/>
        <v>1</v>
      </c>
    </row>
    <row r="141" spans="9:11">
      <c r="I141" s="15">
        <f>アイスクリームの売り上げデータ!A141</f>
        <v>43604</v>
      </c>
      <c r="J141">
        <f>アイスクリームの売り上げデータ!B141</f>
        <v>1</v>
      </c>
      <c r="K141">
        <f t="shared" si="2"/>
        <v>1</v>
      </c>
    </row>
    <row r="142" spans="9:11">
      <c r="I142" s="15">
        <f>アイスクリームの売り上げデータ!A142</f>
        <v>43605</v>
      </c>
      <c r="J142">
        <f>アイスクリームの売り上げデータ!B142</f>
        <v>2</v>
      </c>
      <c r="K142">
        <f t="shared" si="2"/>
        <v>0</v>
      </c>
    </row>
    <row r="143" spans="9:11">
      <c r="I143" s="15">
        <f>アイスクリームの売り上げデータ!A143</f>
        <v>43606</v>
      </c>
      <c r="J143">
        <f>アイスクリームの売り上げデータ!B143</f>
        <v>3</v>
      </c>
      <c r="K143">
        <f t="shared" si="2"/>
        <v>0</v>
      </c>
    </row>
    <row r="144" spans="9:11">
      <c r="I144" s="15">
        <f>アイスクリームの売り上げデータ!A144</f>
        <v>43607</v>
      </c>
      <c r="J144">
        <f>アイスクリームの売り上げデータ!B144</f>
        <v>4</v>
      </c>
      <c r="K144">
        <f t="shared" si="2"/>
        <v>0</v>
      </c>
    </row>
    <row r="145" spans="9:11">
      <c r="I145" s="15">
        <f>アイスクリームの売り上げデータ!A145</f>
        <v>43608</v>
      </c>
      <c r="J145">
        <f>アイスクリームの売り上げデータ!B145</f>
        <v>5</v>
      </c>
      <c r="K145">
        <f t="shared" si="2"/>
        <v>0</v>
      </c>
    </row>
    <row r="146" spans="9:11">
      <c r="I146" s="15">
        <f>アイスクリームの売り上げデータ!A146</f>
        <v>43609</v>
      </c>
      <c r="J146">
        <f>アイスクリームの売り上げデータ!B146</f>
        <v>6</v>
      </c>
      <c r="K146">
        <f t="shared" si="2"/>
        <v>0</v>
      </c>
    </row>
    <row r="147" spans="9:11">
      <c r="I147" s="15">
        <f>アイスクリームの売り上げデータ!A147</f>
        <v>43610</v>
      </c>
      <c r="J147">
        <f>アイスクリームの売り上げデータ!B147</f>
        <v>7</v>
      </c>
      <c r="K147">
        <f t="shared" si="2"/>
        <v>1</v>
      </c>
    </row>
    <row r="148" spans="9:11">
      <c r="I148" s="15">
        <f>アイスクリームの売り上げデータ!A148</f>
        <v>43611</v>
      </c>
      <c r="J148">
        <f>アイスクリームの売り上げデータ!B148</f>
        <v>1</v>
      </c>
      <c r="K148">
        <f t="shared" si="2"/>
        <v>1</v>
      </c>
    </row>
    <row r="149" spans="9:11">
      <c r="I149" s="15">
        <f>アイスクリームの売り上げデータ!A149</f>
        <v>43612</v>
      </c>
      <c r="J149">
        <f>アイスクリームの売り上げデータ!B149</f>
        <v>2</v>
      </c>
      <c r="K149">
        <f t="shared" si="2"/>
        <v>0</v>
      </c>
    </row>
    <row r="150" spans="9:11">
      <c r="I150" s="15">
        <f>アイスクリームの売り上げデータ!A150</f>
        <v>43613</v>
      </c>
      <c r="J150">
        <f>アイスクリームの売り上げデータ!B150</f>
        <v>3</v>
      </c>
      <c r="K150">
        <f t="shared" si="2"/>
        <v>0</v>
      </c>
    </row>
    <row r="151" spans="9:11">
      <c r="I151" s="15">
        <f>アイスクリームの売り上げデータ!A151</f>
        <v>43614</v>
      </c>
      <c r="J151">
        <f>アイスクリームの売り上げデータ!B151</f>
        <v>4</v>
      </c>
      <c r="K151">
        <f t="shared" si="2"/>
        <v>0</v>
      </c>
    </row>
    <row r="152" spans="9:11">
      <c r="I152" s="15">
        <f>アイスクリームの売り上げデータ!A152</f>
        <v>43615</v>
      </c>
      <c r="J152">
        <f>アイスクリームの売り上げデータ!B152</f>
        <v>5</v>
      </c>
      <c r="K152">
        <f t="shared" si="2"/>
        <v>0</v>
      </c>
    </row>
    <row r="153" spans="9:11">
      <c r="I153" s="15">
        <f>アイスクリームの売り上げデータ!A153</f>
        <v>43616</v>
      </c>
      <c r="J153">
        <f>アイスクリームの売り上げデータ!B153</f>
        <v>6</v>
      </c>
      <c r="K153">
        <f t="shared" si="2"/>
        <v>0</v>
      </c>
    </row>
    <row r="154" spans="9:11">
      <c r="I154" s="15">
        <f>アイスクリームの売り上げデータ!A154</f>
        <v>43617</v>
      </c>
      <c r="J154">
        <f>アイスクリームの売り上げデータ!B154</f>
        <v>7</v>
      </c>
      <c r="K154">
        <f t="shared" si="2"/>
        <v>1</v>
      </c>
    </row>
    <row r="155" spans="9:11">
      <c r="I155" s="15">
        <f>アイスクリームの売り上げデータ!A155</f>
        <v>43618</v>
      </c>
      <c r="J155">
        <f>アイスクリームの売り上げデータ!B155</f>
        <v>1</v>
      </c>
      <c r="K155">
        <f t="shared" si="2"/>
        <v>1</v>
      </c>
    </row>
    <row r="156" spans="9:11">
      <c r="I156" s="15">
        <f>アイスクリームの売り上げデータ!A156</f>
        <v>43619</v>
      </c>
      <c r="J156">
        <f>アイスクリームの売り上げデータ!B156</f>
        <v>2</v>
      </c>
      <c r="K156">
        <f t="shared" si="2"/>
        <v>0</v>
      </c>
    </row>
    <row r="157" spans="9:11">
      <c r="I157" s="15">
        <f>アイスクリームの売り上げデータ!A157</f>
        <v>43620</v>
      </c>
      <c r="J157">
        <f>アイスクリームの売り上げデータ!B157</f>
        <v>3</v>
      </c>
      <c r="K157">
        <f t="shared" si="2"/>
        <v>0</v>
      </c>
    </row>
    <row r="158" spans="9:11">
      <c r="I158" s="15">
        <f>アイスクリームの売り上げデータ!A158</f>
        <v>43621</v>
      </c>
      <c r="J158">
        <f>アイスクリームの売り上げデータ!B158</f>
        <v>4</v>
      </c>
      <c r="K158">
        <f t="shared" si="2"/>
        <v>0</v>
      </c>
    </row>
    <row r="159" spans="9:11">
      <c r="I159" s="15">
        <f>アイスクリームの売り上げデータ!A159</f>
        <v>43622</v>
      </c>
      <c r="J159">
        <f>アイスクリームの売り上げデータ!B159</f>
        <v>5</v>
      </c>
      <c r="K159">
        <f t="shared" si="2"/>
        <v>0</v>
      </c>
    </row>
    <row r="160" spans="9:11">
      <c r="I160" s="15">
        <f>アイスクリームの売り上げデータ!A160</f>
        <v>43623</v>
      </c>
      <c r="J160">
        <f>アイスクリームの売り上げデータ!B160</f>
        <v>6</v>
      </c>
      <c r="K160">
        <f t="shared" si="2"/>
        <v>0</v>
      </c>
    </row>
    <row r="161" spans="9:11">
      <c r="I161" s="15">
        <f>アイスクリームの売り上げデータ!A161</f>
        <v>43624</v>
      </c>
      <c r="J161">
        <f>アイスクリームの売り上げデータ!B161</f>
        <v>7</v>
      </c>
      <c r="K161">
        <f t="shared" si="2"/>
        <v>1</v>
      </c>
    </row>
    <row r="162" spans="9:11">
      <c r="I162" s="15">
        <f>アイスクリームの売り上げデータ!A162</f>
        <v>43625</v>
      </c>
      <c r="J162">
        <f>アイスクリームの売り上げデータ!B162</f>
        <v>1</v>
      </c>
      <c r="K162">
        <f t="shared" si="2"/>
        <v>1</v>
      </c>
    </row>
    <row r="163" spans="9:11">
      <c r="I163" s="15">
        <f>アイスクリームの売り上げデータ!A163</f>
        <v>43626</v>
      </c>
      <c r="J163">
        <f>アイスクリームの売り上げデータ!B163</f>
        <v>2</v>
      </c>
      <c r="K163">
        <f t="shared" si="2"/>
        <v>0</v>
      </c>
    </row>
    <row r="164" spans="9:11">
      <c r="I164" s="15">
        <f>アイスクリームの売り上げデータ!A164</f>
        <v>43627</v>
      </c>
      <c r="J164">
        <f>アイスクリームの売り上げデータ!B164</f>
        <v>3</v>
      </c>
      <c r="K164">
        <f t="shared" si="2"/>
        <v>0</v>
      </c>
    </row>
    <row r="165" spans="9:11">
      <c r="I165" s="15">
        <f>アイスクリームの売り上げデータ!A165</f>
        <v>43628</v>
      </c>
      <c r="J165">
        <f>アイスクリームの売り上げデータ!B165</f>
        <v>4</v>
      </c>
      <c r="K165">
        <f t="shared" si="2"/>
        <v>0</v>
      </c>
    </row>
    <row r="166" spans="9:11">
      <c r="I166" s="15">
        <f>アイスクリームの売り上げデータ!A166</f>
        <v>43629</v>
      </c>
      <c r="J166">
        <f>アイスクリームの売り上げデータ!B166</f>
        <v>5</v>
      </c>
      <c r="K166">
        <f t="shared" si="2"/>
        <v>0</v>
      </c>
    </row>
    <row r="167" spans="9:11">
      <c r="I167" s="15">
        <f>アイスクリームの売り上げデータ!A167</f>
        <v>43630</v>
      </c>
      <c r="J167">
        <f>アイスクリームの売り上げデータ!B167</f>
        <v>6</v>
      </c>
      <c r="K167">
        <f t="shared" si="2"/>
        <v>0</v>
      </c>
    </row>
    <row r="168" spans="9:11">
      <c r="I168" s="15">
        <f>アイスクリームの売り上げデータ!A168</f>
        <v>43631</v>
      </c>
      <c r="J168">
        <f>アイスクリームの売り上げデータ!B168</f>
        <v>7</v>
      </c>
      <c r="K168">
        <f t="shared" si="2"/>
        <v>1</v>
      </c>
    </row>
    <row r="169" spans="9:11">
      <c r="I169" s="15">
        <f>アイスクリームの売り上げデータ!A169</f>
        <v>43632</v>
      </c>
      <c r="J169">
        <f>アイスクリームの売り上げデータ!B169</f>
        <v>1</v>
      </c>
      <c r="K169">
        <f t="shared" si="2"/>
        <v>1</v>
      </c>
    </row>
    <row r="170" spans="9:11">
      <c r="I170" s="15">
        <f>アイスクリームの売り上げデータ!A170</f>
        <v>43633</v>
      </c>
      <c r="J170">
        <f>アイスクリームの売り上げデータ!B170</f>
        <v>2</v>
      </c>
      <c r="K170">
        <f t="shared" si="2"/>
        <v>0</v>
      </c>
    </row>
    <row r="171" spans="9:11">
      <c r="I171" s="15">
        <f>アイスクリームの売り上げデータ!A171</f>
        <v>43634</v>
      </c>
      <c r="J171">
        <f>アイスクリームの売り上げデータ!B171</f>
        <v>3</v>
      </c>
      <c r="K171">
        <f t="shared" si="2"/>
        <v>0</v>
      </c>
    </row>
    <row r="172" spans="9:11">
      <c r="I172" s="15">
        <f>アイスクリームの売り上げデータ!A172</f>
        <v>43635</v>
      </c>
      <c r="J172">
        <f>アイスクリームの売り上げデータ!B172</f>
        <v>4</v>
      </c>
      <c r="K172">
        <f t="shared" si="2"/>
        <v>0</v>
      </c>
    </row>
    <row r="173" spans="9:11">
      <c r="I173" s="15">
        <f>アイスクリームの売り上げデータ!A173</f>
        <v>43636</v>
      </c>
      <c r="J173">
        <f>アイスクリームの売り上げデータ!B173</f>
        <v>5</v>
      </c>
      <c r="K173">
        <f t="shared" si="2"/>
        <v>0</v>
      </c>
    </row>
    <row r="174" spans="9:11">
      <c r="I174" s="15">
        <f>アイスクリームの売り上げデータ!A174</f>
        <v>43637</v>
      </c>
      <c r="J174">
        <f>アイスクリームの売り上げデータ!B174</f>
        <v>6</v>
      </c>
      <c r="K174">
        <f t="shared" si="2"/>
        <v>0</v>
      </c>
    </row>
    <row r="175" spans="9:11">
      <c r="I175" s="15">
        <f>アイスクリームの売り上げデータ!A175</f>
        <v>43638</v>
      </c>
      <c r="J175">
        <f>アイスクリームの売り上げデータ!B175</f>
        <v>7</v>
      </c>
      <c r="K175">
        <f t="shared" si="2"/>
        <v>1</v>
      </c>
    </row>
    <row r="176" spans="9:11">
      <c r="I176" s="15">
        <f>アイスクリームの売り上げデータ!A176</f>
        <v>43639</v>
      </c>
      <c r="J176">
        <f>アイスクリームの売り上げデータ!B176</f>
        <v>1</v>
      </c>
      <c r="K176">
        <f t="shared" si="2"/>
        <v>1</v>
      </c>
    </row>
    <row r="177" spans="9:11">
      <c r="I177" s="15">
        <f>アイスクリームの売り上げデータ!A177</f>
        <v>43640</v>
      </c>
      <c r="J177">
        <f>アイスクリームの売り上げデータ!B177</f>
        <v>2</v>
      </c>
      <c r="K177">
        <f t="shared" si="2"/>
        <v>0</v>
      </c>
    </row>
    <row r="178" spans="9:11">
      <c r="I178" s="15">
        <f>アイスクリームの売り上げデータ!A178</f>
        <v>43641</v>
      </c>
      <c r="J178">
        <f>アイスクリームの売り上げデータ!B178</f>
        <v>3</v>
      </c>
      <c r="K178">
        <f t="shared" si="2"/>
        <v>0</v>
      </c>
    </row>
    <row r="179" spans="9:11">
      <c r="I179" s="15">
        <f>アイスクリームの売り上げデータ!A179</f>
        <v>43642</v>
      </c>
      <c r="J179">
        <f>アイスクリームの売り上げデータ!B179</f>
        <v>4</v>
      </c>
      <c r="K179">
        <f t="shared" si="2"/>
        <v>0</v>
      </c>
    </row>
    <row r="180" spans="9:11">
      <c r="I180" s="15">
        <f>アイスクリームの売り上げデータ!A180</f>
        <v>43643</v>
      </c>
      <c r="J180">
        <f>アイスクリームの売り上げデータ!B180</f>
        <v>5</v>
      </c>
      <c r="K180">
        <f t="shared" si="2"/>
        <v>0</v>
      </c>
    </row>
    <row r="181" spans="9:11">
      <c r="I181" s="15">
        <f>アイスクリームの売り上げデータ!A181</f>
        <v>43644</v>
      </c>
      <c r="J181">
        <f>アイスクリームの売り上げデータ!B181</f>
        <v>6</v>
      </c>
      <c r="K181">
        <f t="shared" si="2"/>
        <v>0</v>
      </c>
    </row>
    <row r="182" spans="9:11">
      <c r="I182" s="15">
        <f>アイスクリームの売り上げデータ!A182</f>
        <v>43645</v>
      </c>
      <c r="J182">
        <f>アイスクリームの売り上げデータ!B182</f>
        <v>7</v>
      </c>
      <c r="K182">
        <f t="shared" si="2"/>
        <v>1</v>
      </c>
    </row>
    <row r="183" spans="9:11">
      <c r="I183" s="15">
        <f>アイスクリームの売り上げデータ!A183</f>
        <v>43646</v>
      </c>
      <c r="J183">
        <f>アイスクリームの売り上げデータ!B183</f>
        <v>1</v>
      </c>
      <c r="K183">
        <f t="shared" si="2"/>
        <v>1</v>
      </c>
    </row>
    <row r="184" spans="9:11">
      <c r="I184" s="15">
        <f>アイスクリームの売り上げデータ!A184</f>
        <v>43647</v>
      </c>
      <c r="J184">
        <f>アイスクリームの売り上げデータ!B184</f>
        <v>2</v>
      </c>
      <c r="K184">
        <f t="shared" si="2"/>
        <v>0</v>
      </c>
    </row>
    <row r="185" spans="9:11">
      <c r="I185" s="15">
        <f>アイスクリームの売り上げデータ!A185</f>
        <v>43648</v>
      </c>
      <c r="J185">
        <f>アイスクリームの売り上げデータ!B185</f>
        <v>3</v>
      </c>
      <c r="K185">
        <f t="shared" si="2"/>
        <v>0</v>
      </c>
    </row>
    <row r="186" spans="9:11">
      <c r="I186" s="15">
        <f>アイスクリームの売り上げデータ!A186</f>
        <v>43649</v>
      </c>
      <c r="J186">
        <f>アイスクリームの売り上げデータ!B186</f>
        <v>4</v>
      </c>
      <c r="K186">
        <f t="shared" si="2"/>
        <v>0</v>
      </c>
    </row>
    <row r="187" spans="9:11">
      <c r="I187" s="15">
        <f>アイスクリームの売り上げデータ!A187</f>
        <v>43650</v>
      </c>
      <c r="J187">
        <f>アイスクリームの売り上げデータ!B187</f>
        <v>5</v>
      </c>
      <c r="K187">
        <f t="shared" si="2"/>
        <v>0</v>
      </c>
    </row>
    <row r="188" spans="9:11">
      <c r="I188" s="15">
        <f>アイスクリームの売り上げデータ!A188</f>
        <v>43651</v>
      </c>
      <c r="J188">
        <f>アイスクリームの売り上げデータ!B188</f>
        <v>6</v>
      </c>
      <c r="K188">
        <f t="shared" si="2"/>
        <v>0</v>
      </c>
    </row>
    <row r="189" spans="9:11">
      <c r="I189" s="15">
        <f>アイスクリームの売り上げデータ!A189</f>
        <v>43652</v>
      </c>
      <c r="J189">
        <f>アイスクリームの売り上げデータ!B189</f>
        <v>7</v>
      </c>
      <c r="K189">
        <f t="shared" si="2"/>
        <v>1</v>
      </c>
    </row>
    <row r="190" spans="9:11">
      <c r="I190" s="15">
        <f>アイスクリームの売り上げデータ!A190</f>
        <v>43653</v>
      </c>
      <c r="J190">
        <f>アイスクリームの売り上げデータ!B190</f>
        <v>1</v>
      </c>
      <c r="K190">
        <f t="shared" si="2"/>
        <v>1</v>
      </c>
    </row>
    <row r="191" spans="9:11">
      <c r="I191" s="15">
        <f>アイスクリームの売り上げデータ!A191</f>
        <v>43654</v>
      </c>
      <c r="J191">
        <f>アイスクリームの売り上げデータ!B191</f>
        <v>2</v>
      </c>
      <c r="K191">
        <f t="shared" si="2"/>
        <v>0</v>
      </c>
    </row>
    <row r="192" spans="9:11">
      <c r="I192" s="15">
        <f>アイスクリームの売り上げデータ!A192</f>
        <v>43655</v>
      </c>
      <c r="J192">
        <f>アイスクリームの売り上げデータ!B192</f>
        <v>3</v>
      </c>
      <c r="K192">
        <f t="shared" si="2"/>
        <v>0</v>
      </c>
    </row>
    <row r="193" spans="9:11">
      <c r="I193" s="15">
        <f>アイスクリームの売り上げデータ!A193</f>
        <v>43656</v>
      </c>
      <c r="J193">
        <f>アイスクリームの売り上げデータ!B193</f>
        <v>4</v>
      </c>
      <c r="K193">
        <f t="shared" si="2"/>
        <v>0</v>
      </c>
    </row>
    <row r="194" spans="9:11">
      <c r="I194" s="15">
        <f>アイスクリームの売り上げデータ!A194</f>
        <v>43657</v>
      </c>
      <c r="J194">
        <f>アイスクリームの売り上げデータ!B194</f>
        <v>5</v>
      </c>
      <c r="K194">
        <f t="shared" si="2"/>
        <v>0</v>
      </c>
    </row>
    <row r="195" spans="9:11">
      <c r="I195" s="15">
        <f>アイスクリームの売り上げデータ!A195</f>
        <v>43658</v>
      </c>
      <c r="J195">
        <f>アイスクリームの売り上げデータ!B195</f>
        <v>6</v>
      </c>
      <c r="K195">
        <f t="shared" si="2"/>
        <v>0</v>
      </c>
    </row>
    <row r="196" spans="9:11">
      <c r="I196" s="15">
        <f>アイスクリームの売り上げデータ!A196</f>
        <v>43659</v>
      </c>
      <c r="J196">
        <f>アイスクリームの売り上げデータ!B196</f>
        <v>7</v>
      </c>
      <c r="K196">
        <f t="shared" ref="K196:K259" si="3">IF(OR(J196=1,J196=7),1,0)</f>
        <v>1</v>
      </c>
    </row>
    <row r="197" spans="9:11">
      <c r="I197" s="15">
        <f>アイスクリームの売り上げデータ!A197</f>
        <v>43660</v>
      </c>
      <c r="J197">
        <f>アイスクリームの売り上げデータ!B197</f>
        <v>1</v>
      </c>
      <c r="K197">
        <f t="shared" si="3"/>
        <v>1</v>
      </c>
    </row>
    <row r="198" spans="9:11">
      <c r="I198" s="15">
        <f>アイスクリームの売り上げデータ!A198</f>
        <v>43661</v>
      </c>
      <c r="J198">
        <f>アイスクリームの売り上げデータ!B198</f>
        <v>2</v>
      </c>
      <c r="K198">
        <f t="shared" si="3"/>
        <v>0</v>
      </c>
    </row>
    <row r="199" spans="9:11">
      <c r="I199" s="15">
        <f>アイスクリームの売り上げデータ!A199</f>
        <v>43662</v>
      </c>
      <c r="J199">
        <f>アイスクリームの売り上げデータ!B199</f>
        <v>3</v>
      </c>
      <c r="K199">
        <f t="shared" si="3"/>
        <v>0</v>
      </c>
    </row>
    <row r="200" spans="9:11">
      <c r="I200" s="15">
        <f>アイスクリームの売り上げデータ!A200</f>
        <v>43663</v>
      </c>
      <c r="J200">
        <f>アイスクリームの売り上げデータ!B200</f>
        <v>4</v>
      </c>
      <c r="K200">
        <f t="shared" si="3"/>
        <v>0</v>
      </c>
    </row>
    <row r="201" spans="9:11">
      <c r="I201" s="15">
        <f>アイスクリームの売り上げデータ!A201</f>
        <v>43664</v>
      </c>
      <c r="J201">
        <f>アイスクリームの売り上げデータ!B201</f>
        <v>5</v>
      </c>
      <c r="K201">
        <f t="shared" si="3"/>
        <v>0</v>
      </c>
    </row>
    <row r="202" spans="9:11">
      <c r="I202" s="15">
        <f>アイスクリームの売り上げデータ!A202</f>
        <v>43665</v>
      </c>
      <c r="J202">
        <f>アイスクリームの売り上げデータ!B202</f>
        <v>6</v>
      </c>
      <c r="K202">
        <f t="shared" si="3"/>
        <v>0</v>
      </c>
    </row>
    <row r="203" spans="9:11">
      <c r="I203" s="15">
        <f>アイスクリームの売り上げデータ!A203</f>
        <v>43666</v>
      </c>
      <c r="J203">
        <f>アイスクリームの売り上げデータ!B203</f>
        <v>7</v>
      </c>
      <c r="K203">
        <f t="shared" si="3"/>
        <v>1</v>
      </c>
    </row>
    <row r="204" spans="9:11">
      <c r="I204" s="15">
        <f>アイスクリームの売り上げデータ!A204</f>
        <v>43667</v>
      </c>
      <c r="J204">
        <f>アイスクリームの売り上げデータ!B204</f>
        <v>1</v>
      </c>
      <c r="K204">
        <f t="shared" si="3"/>
        <v>1</v>
      </c>
    </row>
    <row r="205" spans="9:11">
      <c r="I205" s="15">
        <f>アイスクリームの売り上げデータ!A205</f>
        <v>43668</v>
      </c>
      <c r="J205">
        <f>アイスクリームの売り上げデータ!B205</f>
        <v>2</v>
      </c>
      <c r="K205">
        <f t="shared" si="3"/>
        <v>0</v>
      </c>
    </row>
    <row r="206" spans="9:11">
      <c r="I206" s="15">
        <f>アイスクリームの売り上げデータ!A206</f>
        <v>43669</v>
      </c>
      <c r="J206">
        <f>アイスクリームの売り上げデータ!B206</f>
        <v>3</v>
      </c>
      <c r="K206">
        <f t="shared" si="3"/>
        <v>0</v>
      </c>
    </row>
    <row r="207" spans="9:11">
      <c r="I207" s="15">
        <f>アイスクリームの売り上げデータ!A207</f>
        <v>43670</v>
      </c>
      <c r="J207">
        <f>アイスクリームの売り上げデータ!B207</f>
        <v>4</v>
      </c>
      <c r="K207">
        <f t="shared" si="3"/>
        <v>0</v>
      </c>
    </row>
    <row r="208" spans="9:11">
      <c r="I208" s="15">
        <f>アイスクリームの売り上げデータ!A208</f>
        <v>43671</v>
      </c>
      <c r="J208">
        <f>アイスクリームの売り上げデータ!B208</f>
        <v>5</v>
      </c>
      <c r="K208">
        <f t="shared" si="3"/>
        <v>0</v>
      </c>
    </row>
    <row r="209" spans="9:11">
      <c r="I209" s="15">
        <f>アイスクリームの売り上げデータ!A209</f>
        <v>43672</v>
      </c>
      <c r="J209">
        <f>アイスクリームの売り上げデータ!B209</f>
        <v>6</v>
      </c>
      <c r="K209">
        <f t="shared" si="3"/>
        <v>0</v>
      </c>
    </row>
    <row r="210" spans="9:11">
      <c r="I210" s="15">
        <f>アイスクリームの売り上げデータ!A210</f>
        <v>43673</v>
      </c>
      <c r="J210">
        <f>アイスクリームの売り上げデータ!B210</f>
        <v>7</v>
      </c>
      <c r="K210">
        <f t="shared" si="3"/>
        <v>1</v>
      </c>
    </row>
    <row r="211" spans="9:11">
      <c r="I211" s="15">
        <f>アイスクリームの売り上げデータ!A211</f>
        <v>43674</v>
      </c>
      <c r="J211">
        <f>アイスクリームの売り上げデータ!B211</f>
        <v>1</v>
      </c>
      <c r="K211">
        <f t="shared" si="3"/>
        <v>1</v>
      </c>
    </row>
    <row r="212" spans="9:11">
      <c r="I212" s="15">
        <f>アイスクリームの売り上げデータ!A212</f>
        <v>43675</v>
      </c>
      <c r="J212">
        <f>アイスクリームの売り上げデータ!B212</f>
        <v>2</v>
      </c>
      <c r="K212">
        <f t="shared" si="3"/>
        <v>0</v>
      </c>
    </row>
    <row r="213" spans="9:11">
      <c r="I213" s="15">
        <f>アイスクリームの売り上げデータ!A213</f>
        <v>43676</v>
      </c>
      <c r="J213">
        <f>アイスクリームの売り上げデータ!B213</f>
        <v>3</v>
      </c>
      <c r="K213">
        <f t="shared" si="3"/>
        <v>0</v>
      </c>
    </row>
    <row r="214" spans="9:11">
      <c r="I214" s="15">
        <f>アイスクリームの売り上げデータ!A214</f>
        <v>43677</v>
      </c>
      <c r="J214">
        <f>アイスクリームの売り上げデータ!B214</f>
        <v>4</v>
      </c>
      <c r="K214">
        <f t="shared" si="3"/>
        <v>0</v>
      </c>
    </row>
    <row r="215" spans="9:11">
      <c r="I215" s="15">
        <f>アイスクリームの売り上げデータ!A215</f>
        <v>43678</v>
      </c>
      <c r="J215">
        <f>アイスクリームの売り上げデータ!B215</f>
        <v>5</v>
      </c>
      <c r="K215">
        <f t="shared" si="3"/>
        <v>0</v>
      </c>
    </row>
    <row r="216" spans="9:11">
      <c r="I216" s="15">
        <f>アイスクリームの売り上げデータ!A216</f>
        <v>43679</v>
      </c>
      <c r="J216">
        <f>アイスクリームの売り上げデータ!B216</f>
        <v>6</v>
      </c>
      <c r="K216">
        <f t="shared" si="3"/>
        <v>0</v>
      </c>
    </row>
    <row r="217" spans="9:11">
      <c r="I217" s="15">
        <f>アイスクリームの売り上げデータ!A217</f>
        <v>43680</v>
      </c>
      <c r="J217">
        <f>アイスクリームの売り上げデータ!B217</f>
        <v>7</v>
      </c>
      <c r="K217">
        <f t="shared" si="3"/>
        <v>1</v>
      </c>
    </row>
    <row r="218" spans="9:11">
      <c r="I218" s="15">
        <f>アイスクリームの売り上げデータ!A218</f>
        <v>43681</v>
      </c>
      <c r="J218">
        <f>アイスクリームの売り上げデータ!B218</f>
        <v>1</v>
      </c>
      <c r="K218">
        <f t="shared" si="3"/>
        <v>1</v>
      </c>
    </row>
    <row r="219" spans="9:11">
      <c r="I219" s="15">
        <f>アイスクリームの売り上げデータ!A219</f>
        <v>43682</v>
      </c>
      <c r="J219">
        <f>アイスクリームの売り上げデータ!B219</f>
        <v>2</v>
      </c>
      <c r="K219">
        <f t="shared" si="3"/>
        <v>0</v>
      </c>
    </row>
    <row r="220" spans="9:11">
      <c r="I220" s="15">
        <f>アイスクリームの売り上げデータ!A220</f>
        <v>43683</v>
      </c>
      <c r="J220">
        <f>アイスクリームの売り上げデータ!B220</f>
        <v>3</v>
      </c>
      <c r="K220">
        <f t="shared" si="3"/>
        <v>0</v>
      </c>
    </row>
    <row r="221" spans="9:11">
      <c r="I221" s="15">
        <f>アイスクリームの売り上げデータ!A221</f>
        <v>43684</v>
      </c>
      <c r="J221">
        <f>アイスクリームの売り上げデータ!B221</f>
        <v>4</v>
      </c>
      <c r="K221">
        <f t="shared" si="3"/>
        <v>0</v>
      </c>
    </row>
    <row r="222" spans="9:11">
      <c r="I222" s="15">
        <f>アイスクリームの売り上げデータ!A222</f>
        <v>43685</v>
      </c>
      <c r="J222">
        <f>アイスクリームの売り上げデータ!B222</f>
        <v>5</v>
      </c>
      <c r="K222">
        <f t="shared" si="3"/>
        <v>0</v>
      </c>
    </row>
    <row r="223" spans="9:11">
      <c r="I223" s="15">
        <f>アイスクリームの売り上げデータ!A223</f>
        <v>43686</v>
      </c>
      <c r="J223">
        <f>アイスクリームの売り上げデータ!B223</f>
        <v>6</v>
      </c>
      <c r="K223">
        <f t="shared" si="3"/>
        <v>0</v>
      </c>
    </row>
    <row r="224" spans="9:11">
      <c r="I224" s="15">
        <f>アイスクリームの売り上げデータ!A224</f>
        <v>43687</v>
      </c>
      <c r="J224">
        <f>アイスクリームの売り上げデータ!B224</f>
        <v>7</v>
      </c>
      <c r="K224">
        <f t="shared" si="3"/>
        <v>1</v>
      </c>
    </row>
    <row r="225" spans="9:11">
      <c r="I225" s="15">
        <f>アイスクリームの売り上げデータ!A225</f>
        <v>43688</v>
      </c>
      <c r="J225">
        <f>アイスクリームの売り上げデータ!B225</f>
        <v>1</v>
      </c>
      <c r="K225">
        <f t="shared" si="3"/>
        <v>1</v>
      </c>
    </row>
    <row r="226" spans="9:11">
      <c r="I226" s="15">
        <f>アイスクリームの売り上げデータ!A226</f>
        <v>43689</v>
      </c>
      <c r="J226">
        <f>アイスクリームの売り上げデータ!B226</f>
        <v>2</v>
      </c>
      <c r="K226">
        <f t="shared" si="3"/>
        <v>0</v>
      </c>
    </row>
    <row r="227" spans="9:11">
      <c r="I227" s="15">
        <f>アイスクリームの売り上げデータ!A227</f>
        <v>43690</v>
      </c>
      <c r="J227">
        <f>アイスクリームの売り上げデータ!B227</f>
        <v>3</v>
      </c>
      <c r="K227">
        <f t="shared" si="3"/>
        <v>0</v>
      </c>
    </row>
    <row r="228" spans="9:11">
      <c r="I228" s="15">
        <f>アイスクリームの売り上げデータ!A228</f>
        <v>43691</v>
      </c>
      <c r="J228">
        <f>アイスクリームの売り上げデータ!B228</f>
        <v>4</v>
      </c>
      <c r="K228">
        <f t="shared" si="3"/>
        <v>0</v>
      </c>
    </row>
    <row r="229" spans="9:11">
      <c r="I229" s="15">
        <f>アイスクリームの売り上げデータ!A229</f>
        <v>43692</v>
      </c>
      <c r="J229">
        <f>アイスクリームの売り上げデータ!B229</f>
        <v>5</v>
      </c>
      <c r="K229">
        <f t="shared" si="3"/>
        <v>0</v>
      </c>
    </row>
    <row r="230" spans="9:11">
      <c r="I230" s="15">
        <f>アイスクリームの売り上げデータ!A230</f>
        <v>43693</v>
      </c>
      <c r="J230">
        <f>アイスクリームの売り上げデータ!B230</f>
        <v>6</v>
      </c>
      <c r="K230">
        <f t="shared" si="3"/>
        <v>0</v>
      </c>
    </row>
    <row r="231" spans="9:11">
      <c r="I231" s="15">
        <f>アイスクリームの売り上げデータ!A231</f>
        <v>43694</v>
      </c>
      <c r="J231">
        <f>アイスクリームの売り上げデータ!B231</f>
        <v>7</v>
      </c>
      <c r="K231">
        <f t="shared" si="3"/>
        <v>1</v>
      </c>
    </row>
    <row r="232" spans="9:11">
      <c r="I232" s="15">
        <f>アイスクリームの売り上げデータ!A232</f>
        <v>43695</v>
      </c>
      <c r="J232">
        <f>アイスクリームの売り上げデータ!B232</f>
        <v>1</v>
      </c>
      <c r="K232">
        <f t="shared" si="3"/>
        <v>1</v>
      </c>
    </row>
    <row r="233" spans="9:11">
      <c r="I233" s="15">
        <f>アイスクリームの売り上げデータ!A233</f>
        <v>43696</v>
      </c>
      <c r="J233">
        <f>アイスクリームの売り上げデータ!B233</f>
        <v>2</v>
      </c>
      <c r="K233">
        <f t="shared" si="3"/>
        <v>0</v>
      </c>
    </row>
    <row r="234" spans="9:11">
      <c r="I234" s="15">
        <f>アイスクリームの売り上げデータ!A234</f>
        <v>43697</v>
      </c>
      <c r="J234">
        <f>アイスクリームの売り上げデータ!B234</f>
        <v>3</v>
      </c>
      <c r="K234">
        <f t="shared" si="3"/>
        <v>0</v>
      </c>
    </row>
    <row r="235" spans="9:11">
      <c r="I235" s="15">
        <f>アイスクリームの売り上げデータ!A235</f>
        <v>43698</v>
      </c>
      <c r="J235">
        <f>アイスクリームの売り上げデータ!B235</f>
        <v>4</v>
      </c>
      <c r="K235">
        <f t="shared" si="3"/>
        <v>0</v>
      </c>
    </row>
    <row r="236" spans="9:11">
      <c r="I236" s="15">
        <f>アイスクリームの売り上げデータ!A236</f>
        <v>43699</v>
      </c>
      <c r="J236">
        <f>アイスクリームの売り上げデータ!B236</f>
        <v>5</v>
      </c>
      <c r="K236">
        <f t="shared" si="3"/>
        <v>0</v>
      </c>
    </row>
    <row r="237" spans="9:11">
      <c r="I237" s="15">
        <f>アイスクリームの売り上げデータ!A237</f>
        <v>43700</v>
      </c>
      <c r="J237">
        <f>アイスクリームの売り上げデータ!B237</f>
        <v>6</v>
      </c>
      <c r="K237">
        <f t="shared" si="3"/>
        <v>0</v>
      </c>
    </row>
    <row r="238" spans="9:11">
      <c r="I238" s="15">
        <f>アイスクリームの売り上げデータ!A238</f>
        <v>43701</v>
      </c>
      <c r="J238">
        <f>アイスクリームの売り上げデータ!B238</f>
        <v>7</v>
      </c>
      <c r="K238">
        <f t="shared" si="3"/>
        <v>1</v>
      </c>
    </row>
    <row r="239" spans="9:11">
      <c r="I239" s="15">
        <f>アイスクリームの売り上げデータ!A239</f>
        <v>43702</v>
      </c>
      <c r="J239">
        <f>アイスクリームの売り上げデータ!B239</f>
        <v>1</v>
      </c>
      <c r="K239">
        <f t="shared" si="3"/>
        <v>1</v>
      </c>
    </row>
    <row r="240" spans="9:11">
      <c r="I240" s="15">
        <f>アイスクリームの売り上げデータ!A240</f>
        <v>43703</v>
      </c>
      <c r="J240">
        <f>アイスクリームの売り上げデータ!B240</f>
        <v>2</v>
      </c>
      <c r="K240">
        <f t="shared" si="3"/>
        <v>0</v>
      </c>
    </row>
    <row r="241" spans="9:11">
      <c r="I241" s="15">
        <f>アイスクリームの売り上げデータ!A241</f>
        <v>43704</v>
      </c>
      <c r="J241">
        <f>アイスクリームの売り上げデータ!B241</f>
        <v>3</v>
      </c>
      <c r="K241">
        <f t="shared" si="3"/>
        <v>0</v>
      </c>
    </row>
    <row r="242" spans="9:11">
      <c r="I242" s="15">
        <f>アイスクリームの売り上げデータ!A242</f>
        <v>43705</v>
      </c>
      <c r="J242">
        <f>アイスクリームの売り上げデータ!B242</f>
        <v>4</v>
      </c>
      <c r="K242">
        <f t="shared" si="3"/>
        <v>0</v>
      </c>
    </row>
    <row r="243" spans="9:11">
      <c r="I243" s="15">
        <f>アイスクリームの売り上げデータ!A243</f>
        <v>43706</v>
      </c>
      <c r="J243">
        <f>アイスクリームの売り上げデータ!B243</f>
        <v>5</v>
      </c>
      <c r="K243">
        <f t="shared" si="3"/>
        <v>0</v>
      </c>
    </row>
    <row r="244" spans="9:11">
      <c r="I244" s="15">
        <f>アイスクリームの売り上げデータ!A244</f>
        <v>43707</v>
      </c>
      <c r="J244">
        <f>アイスクリームの売り上げデータ!B244</f>
        <v>6</v>
      </c>
      <c r="K244">
        <f t="shared" si="3"/>
        <v>0</v>
      </c>
    </row>
    <row r="245" spans="9:11">
      <c r="I245" s="15">
        <f>アイスクリームの売り上げデータ!A245</f>
        <v>43708</v>
      </c>
      <c r="J245">
        <f>アイスクリームの売り上げデータ!B245</f>
        <v>7</v>
      </c>
      <c r="K245">
        <f t="shared" si="3"/>
        <v>1</v>
      </c>
    </row>
    <row r="246" spans="9:11">
      <c r="I246" s="15">
        <f>アイスクリームの売り上げデータ!A246</f>
        <v>43709</v>
      </c>
      <c r="J246">
        <f>アイスクリームの売り上げデータ!B246</f>
        <v>1</v>
      </c>
      <c r="K246">
        <f t="shared" si="3"/>
        <v>1</v>
      </c>
    </row>
    <row r="247" spans="9:11">
      <c r="I247" s="15">
        <f>アイスクリームの売り上げデータ!A247</f>
        <v>43710</v>
      </c>
      <c r="J247">
        <f>アイスクリームの売り上げデータ!B247</f>
        <v>2</v>
      </c>
      <c r="K247">
        <f t="shared" si="3"/>
        <v>0</v>
      </c>
    </row>
    <row r="248" spans="9:11">
      <c r="I248" s="15">
        <f>アイスクリームの売り上げデータ!A248</f>
        <v>43711</v>
      </c>
      <c r="J248">
        <f>アイスクリームの売り上げデータ!B248</f>
        <v>3</v>
      </c>
      <c r="K248">
        <f t="shared" si="3"/>
        <v>0</v>
      </c>
    </row>
    <row r="249" spans="9:11">
      <c r="I249" s="15">
        <f>アイスクリームの売り上げデータ!A249</f>
        <v>43712</v>
      </c>
      <c r="J249">
        <f>アイスクリームの売り上げデータ!B249</f>
        <v>4</v>
      </c>
      <c r="K249">
        <f t="shared" si="3"/>
        <v>0</v>
      </c>
    </row>
    <row r="250" spans="9:11">
      <c r="I250" s="15">
        <f>アイスクリームの売り上げデータ!A250</f>
        <v>43713</v>
      </c>
      <c r="J250">
        <f>アイスクリームの売り上げデータ!B250</f>
        <v>5</v>
      </c>
      <c r="K250">
        <f t="shared" si="3"/>
        <v>0</v>
      </c>
    </row>
    <row r="251" spans="9:11">
      <c r="I251" s="15">
        <f>アイスクリームの売り上げデータ!A251</f>
        <v>43714</v>
      </c>
      <c r="J251">
        <f>アイスクリームの売り上げデータ!B251</f>
        <v>6</v>
      </c>
      <c r="K251">
        <f t="shared" si="3"/>
        <v>0</v>
      </c>
    </row>
    <row r="252" spans="9:11">
      <c r="I252" s="15">
        <f>アイスクリームの売り上げデータ!A252</f>
        <v>43715</v>
      </c>
      <c r="J252">
        <f>アイスクリームの売り上げデータ!B252</f>
        <v>7</v>
      </c>
      <c r="K252">
        <f t="shared" si="3"/>
        <v>1</v>
      </c>
    </row>
    <row r="253" spans="9:11">
      <c r="I253" s="15">
        <f>アイスクリームの売り上げデータ!A253</f>
        <v>43716</v>
      </c>
      <c r="J253">
        <f>アイスクリームの売り上げデータ!B253</f>
        <v>1</v>
      </c>
      <c r="K253">
        <f t="shared" si="3"/>
        <v>1</v>
      </c>
    </row>
    <row r="254" spans="9:11">
      <c r="I254" s="15">
        <f>アイスクリームの売り上げデータ!A254</f>
        <v>43717</v>
      </c>
      <c r="J254">
        <f>アイスクリームの売り上げデータ!B254</f>
        <v>2</v>
      </c>
      <c r="K254">
        <f t="shared" si="3"/>
        <v>0</v>
      </c>
    </row>
    <row r="255" spans="9:11">
      <c r="I255" s="15">
        <f>アイスクリームの売り上げデータ!A255</f>
        <v>43718</v>
      </c>
      <c r="J255">
        <f>アイスクリームの売り上げデータ!B255</f>
        <v>3</v>
      </c>
      <c r="K255">
        <f t="shared" si="3"/>
        <v>0</v>
      </c>
    </row>
    <row r="256" spans="9:11">
      <c r="I256" s="15">
        <f>アイスクリームの売り上げデータ!A256</f>
        <v>43719</v>
      </c>
      <c r="J256">
        <f>アイスクリームの売り上げデータ!B256</f>
        <v>4</v>
      </c>
      <c r="K256">
        <f t="shared" si="3"/>
        <v>0</v>
      </c>
    </row>
    <row r="257" spans="9:11">
      <c r="I257" s="15">
        <f>アイスクリームの売り上げデータ!A257</f>
        <v>43720</v>
      </c>
      <c r="J257">
        <f>アイスクリームの売り上げデータ!B257</f>
        <v>5</v>
      </c>
      <c r="K257">
        <f t="shared" si="3"/>
        <v>0</v>
      </c>
    </row>
    <row r="258" spans="9:11">
      <c r="I258" s="15">
        <f>アイスクリームの売り上げデータ!A258</f>
        <v>43721</v>
      </c>
      <c r="J258">
        <f>アイスクリームの売り上げデータ!B258</f>
        <v>6</v>
      </c>
      <c r="K258">
        <f t="shared" si="3"/>
        <v>0</v>
      </c>
    </row>
    <row r="259" spans="9:11">
      <c r="I259" s="15">
        <f>アイスクリームの売り上げデータ!A259</f>
        <v>43722</v>
      </c>
      <c r="J259">
        <f>アイスクリームの売り上げデータ!B259</f>
        <v>7</v>
      </c>
      <c r="K259">
        <f t="shared" si="3"/>
        <v>1</v>
      </c>
    </row>
    <row r="260" spans="9:11">
      <c r="I260" s="15">
        <f>アイスクリームの売り上げデータ!A260</f>
        <v>43723</v>
      </c>
      <c r="J260">
        <f>アイスクリームの売り上げデータ!B260</f>
        <v>1</v>
      </c>
      <c r="K260">
        <f t="shared" ref="K260:K323" si="4">IF(OR(J260=1,J260=7),1,0)</f>
        <v>1</v>
      </c>
    </row>
    <row r="261" spans="9:11">
      <c r="I261" s="15">
        <f>アイスクリームの売り上げデータ!A261</f>
        <v>43724</v>
      </c>
      <c r="J261">
        <f>アイスクリームの売り上げデータ!B261</f>
        <v>2</v>
      </c>
      <c r="K261">
        <f t="shared" si="4"/>
        <v>0</v>
      </c>
    </row>
    <row r="262" spans="9:11">
      <c r="I262" s="15">
        <f>アイスクリームの売り上げデータ!A262</f>
        <v>43725</v>
      </c>
      <c r="J262">
        <f>アイスクリームの売り上げデータ!B262</f>
        <v>3</v>
      </c>
      <c r="K262">
        <f t="shared" si="4"/>
        <v>0</v>
      </c>
    </row>
    <row r="263" spans="9:11">
      <c r="I263" s="15">
        <f>アイスクリームの売り上げデータ!A263</f>
        <v>43726</v>
      </c>
      <c r="J263">
        <f>アイスクリームの売り上げデータ!B263</f>
        <v>4</v>
      </c>
      <c r="K263">
        <f t="shared" si="4"/>
        <v>0</v>
      </c>
    </row>
    <row r="264" spans="9:11">
      <c r="I264" s="15">
        <f>アイスクリームの売り上げデータ!A264</f>
        <v>43727</v>
      </c>
      <c r="J264">
        <f>アイスクリームの売り上げデータ!B264</f>
        <v>5</v>
      </c>
      <c r="K264">
        <f t="shared" si="4"/>
        <v>0</v>
      </c>
    </row>
    <row r="265" spans="9:11">
      <c r="I265" s="15">
        <f>アイスクリームの売り上げデータ!A265</f>
        <v>43728</v>
      </c>
      <c r="J265">
        <f>アイスクリームの売り上げデータ!B265</f>
        <v>6</v>
      </c>
      <c r="K265">
        <f t="shared" si="4"/>
        <v>0</v>
      </c>
    </row>
    <row r="266" spans="9:11">
      <c r="I266" s="15">
        <f>アイスクリームの売り上げデータ!A266</f>
        <v>43729</v>
      </c>
      <c r="J266">
        <f>アイスクリームの売り上げデータ!B266</f>
        <v>7</v>
      </c>
      <c r="K266">
        <f t="shared" si="4"/>
        <v>1</v>
      </c>
    </row>
    <row r="267" spans="9:11">
      <c r="I267" s="15">
        <f>アイスクリームの売り上げデータ!A267</f>
        <v>43730</v>
      </c>
      <c r="J267">
        <f>アイスクリームの売り上げデータ!B267</f>
        <v>1</v>
      </c>
      <c r="K267">
        <f t="shared" si="4"/>
        <v>1</v>
      </c>
    </row>
    <row r="268" spans="9:11">
      <c r="I268" s="15">
        <f>アイスクリームの売り上げデータ!A268</f>
        <v>43731</v>
      </c>
      <c r="J268">
        <f>アイスクリームの売り上げデータ!B268</f>
        <v>2</v>
      </c>
      <c r="K268">
        <f t="shared" si="4"/>
        <v>0</v>
      </c>
    </row>
    <row r="269" spans="9:11">
      <c r="I269" s="15">
        <f>アイスクリームの売り上げデータ!A269</f>
        <v>43732</v>
      </c>
      <c r="J269">
        <f>アイスクリームの売り上げデータ!B269</f>
        <v>3</v>
      </c>
      <c r="K269">
        <f t="shared" si="4"/>
        <v>0</v>
      </c>
    </row>
    <row r="270" spans="9:11">
      <c r="I270" s="15">
        <f>アイスクリームの売り上げデータ!A270</f>
        <v>43733</v>
      </c>
      <c r="J270">
        <f>アイスクリームの売り上げデータ!B270</f>
        <v>4</v>
      </c>
      <c r="K270">
        <f t="shared" si="4"/>
        <v>0</v>
      </c>
    </row>
    <row r="271" spans="9:11">
      <c r="I271" s="15">
        <f>アイスクリームの売り上げデータ!A271</f>
        <v>43734</v>
      </c>
      <c r="J271">
        <f>アイスクリームの売り上げデータ!B271</f>
        <v>5</v>
      </c>
      <c r="K271">
        <f t="shared" si="4"/>
        <v>0</v>
      </c>
    </row>
    <row r="272" spans="9:11">
      <c r="I272" s="15">
        <f>アイスクリームの売り上げデータ!A272</f>
        <v>43735</v>
      </c>
      <c r="J272">
        <f>アイスクリームの売り上げデータ!B272</f>
        <v>6</v>
      </c>
      <c r="K272">
        <f t="shared" si="4"/>
        <v>0</v>
      </c>
    </row>
    <row r="273" spans="9:11">
      <c r="I273" s="15">
        <f>アイスクリームの売り上げデータ!A273</f>
        <v>43736</v>
      </c>
      <c r="J273">
        <f>アイスクリームの売り上げデータ!B273</f>
        <v>7</v>
      </c>
      <c r="K273">
        <f t="shared" si="4"/>
        <v>1</v>
      </c>
    </row>
    <row r="274" spans="9:11">
      <c r="I274" s="15">
        <f>アイスクリームの売り上げデータ!A274</f>
        <v>43737</v>
      </c>
      <c r="J274">
        <f>アイスクリームの売り上げデータ!B274</f>
        <v>1</v>
      </c>
      <c r="K274">
        <f t="shared" si="4"/>
        <v>1</v>
      </c>
    </row>
    <row r="275" spans="9:11">
      <c r="I275" s="15">
        <f>アイスクリームの売り上げデータ!A275</f>
        <v>43738</v>
      </c>
      <c r="J275">
        <f>アイスクリームの売り上げデータ!B275</f>
        <v>2</v>
      </c>
      <c r="K275">
        <f t="shared" si="4"/>
        <v>0</v>
      </c>
    </row>
    <row r="276" spans="9:11">
      <c r="I276" s="15">
        <f>アイスクリームの売り上げデータ!A276</f>
        <v>43739</v>
      </c>
      <c r="J276">
        <f>アイスクリームの売り上げデータ!B276</f>
        <v>3</v>
      </c>
      <c r="K276">
        <f t="shared" si="4"/>
        <v>0</v>
      </c>
    </row>
    <row r="277" spans="9:11">
      <c r="I277" s="15">
        <f>アイスクリームの売り上げデータ!A277</f>
        <v>43740</v>
      </c>
      <c r="J277">
        <f>アイスクリームの売り上げデータ!B277</f>
        <v>4</v>
      </c>
      <c r="K277">
        <f t="shared" si="4"/>
        <v>0</v>
      </c>
    </row>
    <row r="278" spans="9:11">
      <c r="I278" s="15">
        <f>アイスクリームの売り上げデータ!A278</f>
        <v>43741</v>
      </c>
      <c r="J278">
        <f>アイスクリームの売り上げデータ!B278</f>
        <v>5</v>
      </c>
      <c r="K278">
        <f t="shared" si="4"/>
        <v>0</v>
      </c>
    </row>
    <row r="279" spans="9:11">
      <c r="I279" s="15">
        <f>アイスクリームの売り上げデータ!A279</f>
        <v>43742</v>
      </c>
      <c r="J279">
        <f>アイスクリームの売り上げデータ!B279</f>
        <v>6</v>
      </c>
      <c r="K279">
        <f t="shared" si="4"/>
        <v>0</v>
      </c>
    </row>
    <row r="280" spans="9:11">
      <c r="I280" s="15">
        <f>アイスクリームの売り上げデータ!A280</f>
        <v>43743</v>
      </c>
      <c r="J280">
        <f>アイスクリームの売り上げデータ!B280</f>
        <v>7</v>
      </c>
      <c r="K280">
        <f t="shared" si="4"/>
        <v>1</v>
      </c>
    </row>
    <row r="281" spans="9:11">
      <c r="I281" s="15">
        <f>アイスクリームの売り上げデータ!A281</f>
        <v>43744</v>
      </c>
      <c r="J281">
        <f>アイスクリームの売り上げデータ!B281</f>
        <v>1</v>
      </c>
      <c r="K281">
        <f t="shared" si="4"/>
        <v>1</v>
      </c>
    </row>
    <row r="282" spans="9:11">
      <c r="I282" s="15">
        <f>アイスクリームの売り上げデータ!A282</f>
        <v>43745</v>
      </c>
      <c r="J282">
        <f>アイスクリームの売り上げデータ!B282</f>
        <v>2</v>
      </c>
      <c r="K282">
        <f t="shared" si="4"/>
        <v>0</v>
      </c>
    </row>
    <row r="283" spans="9:11">
      <c r="I283" s="15">
        <f>アイスクリームの売り上げデータ!A283</f>
        <v>43746</v>
      </c>
      <c r="J283">
        <f>アイスクリームの売り上げデータ!B283</f>
        <v>3</v>
      </c>
      <c r="K283">
        <f t="shared" si="4"/>
        <v>0</v>
      </c>
    </row>
    <row r="284" spans="9:11">
      <c r="I284" s="15">
        <f>アイスクリームの売り上げデータ!A284</f>
        <v>43747</v>
      </c>
      <c r="J284">
        <f>アイスクリームの売り上げデータ!B284</f>
        <v>4</v>
      </c>
      <c r="K284">
        <f t="shared" si="4"/>
        <v>0</v>
      </c>
    </row>
    <row r="285" spans="9:11">
      <c r="I285" s="15">
        <f>アイスクリームの売り上げデータ!A285</f>
        <v>43748</v>
      </c>
      <c r="J285">
        <f>アイスクリームの売り上げデータ!B285</f>
        <v>5</v>
      </c>
      <c r="K285">
        <f t="shared" si="4"/>
        <v>0</v>
      </c>
    </row>
    <row r="286" spans="9:11">
      <c r="I286" s="15">
        <f>アイスクリームの売り上げデータ!A286</f>
        <v>43749</v>
      </c>
      <c r="J286">
        <f>アイスクリームの売り上げデータ!B286</f>
        <v>6</v>
      </c>
      <c r="K286">
        <f t="shared" si="4"/>
        <v>0</v>
      </c>
    </row>
    <row r="287" spans="9:11">
      <c r="I287" s="15">
        <f>アイスクリームの売り上げデータ!A287</f>
        <v>43750</v>
      </c>
      <c r="J287">
        <f>アイスクリームの売り上げデータ!B287</f>
        <v>7</v>
      </c>
      <c r="K287">
        <f t="shared" si="4"/>
        <v>1</v>
      </c>
    </row>
    <row r="288" spans="9:11">
      <c r="I288" s="15">
        <f>アイスクリームの売り上げデータ!A288</f>
        <v>43751</v>
      </c>
      <c r="J288">
        <f>アイスクリームの売り上げデータ!B288</f>
        <v>1</v>
      </c>
      <c r="K288">
        <f t="shared" si="4"/>
        <v>1</v>
      </c>
    </row>
    <row r="289" spans="9:11">
      <c r="I289" s="15">
        <f>アイスクリームの売り上げデータ!A289</f>
        <v>43752</v>
      </c>
      <c r="J289">
        <f>アイスクリームの売り上げデータ!B289</f>
        <v>2</v>
      </c>
      <c r="K289">
        <f t="shared" si="4"/>
        <v>0</v>
      </c>
    </row>
    <row r="290" spans="9:11">
      <c r="I290" s="15">
        <f>アイスクリームの売り上げデータ!A290</f>
        <v>43753</v>
      </c>
      <c r="J290">
        <f>アイスクリームの売り上げデータ!B290</f>
        <v>3</v>
      </c>
      <c r="K290">
        <f t="shared" si="4"/>
        <v>0</v>
      </c>
    </row>
    <row r="291" spans="9:11">
      <c r="I291" s="15">
        <f>アイスクリームの売り上げデータ!A291</f>
        <v>43754</v>
      </c>
      <c r="J291">
        <f>アイスクリームの売り上げデータ!B291</f>
        <v>4</v>
      </c>
      <c r="K291">
        <f t="shared" si="4"/>
        <v>0</v>
      </c>
    </row>
    <row r="292" spans="9:11">
      <c r="I292" s="15">
        <f>アイスクリームの売り上げデータ!A292</f>
        <v>43755</v>
      </c>
      <c r="J292">
        <f>アイスクリームの売り上げデータ!B292</f>
        <v>5</v>
      </c>
      <c r="K292">
        <f t="shared" si="4"/>
        <v>0</v>
      </c>
    </row>
    <row r="293" spans="9:11">
      <c r="I293" s="15">
        <f>アイスクリームの売り上げデータ!A293</f>
        <v>43756</v>
      </c>
      <c r="J293">
        <f>アイスクリームの売り上げデータ!B293</f>
        <v>6</v>
      </c>
      <c r="K293">
        <f t="shared" si="4"/>
        <v>0</v>
      </c>
    </row>
    <row r="294" spans="9:11">
      <c r="I294" s="15">
        <f>アイスクリームの売り上げデータ!A294</f>
        <v>43757</v>
      </c>
      <c r="J294">
        <f>アイスクリームの売り上げデータ!B294</f>
        <v>7</v>
      </c>
      <c r="K294">
        <f t="shared" si="4"/>
        <v>1</v>
      </c>
    </row>
    <row r="295" spans="9:11">
      <c r="I295" s="15">
        <f>アイスクリームの売り上げデータ!A295</f>
        <v>43758</v>
      </c>
      <c r="J295">
        <f>アイスクリームの売り上げデータ!B295</f>
        <v>1</v>
      </c>
      <c r="K295">
        <f t="shared" si="4"/>
        <v>1</v>
      </c>
    </row>
    <row r="296" spans="9:11">
      <c r="I296" s="15">
        <f>アイスクリームの売り上げデータ!A296</f>
        <v>43759</v>
      </c>
      <c r="J296">
        <f>アイスクリームの売り上げデータ!B296</f>
        <v>2</v>
      </c>
      <c r="K296">
        <f t="shared" si="4"/>
        <v>0</v>
      </c>
    </row>
    <row r="297" spans="9:11">
      <c r="I297" s="15">
        <f>アイスクリームの売り上げデータ!A297</f>
        <v>43760</v>
      </c>
      <c r="J297">
        <f>アイスクリームの売り上げデータ!B297</f>
        <v>3</v>
      </c>
      <c r="K297">
        <f t="shared" si="4"/>
        <v>0</v>
      </c>
    </row>
    <row r="298" spans="9:11">
      <c r="I298" s="15">
        <f>アイスクリームの売り上げデータ!A298</f>
        <v>43761</v>
      </c>
      <c r="J298">
        <f>アイスクリームの売り上げデータ!B298</f>
        <v>4</v>
      </c>
      <c r="K298">
        <f t="shared" si="4"/>
        <v>0</v>
      </c>
    </row>
    <row r="299" spans="9:11">
      <c r="I299" s="15">
        <f>アイスクリームの売り上げデータ!A299</f>
        <v>43762</v>
      </c>
      <c r="J299">
        <f>アイスクリームの売り上げデータ!B299</f>
        <v>5</v>
      </c>
      <c r="K299">
        <f t="shared" si="4"/>
        <v>0</v>
      </c>
    </row>
    <row r="300" spans="9:11">
      <c r="I300" s="15">
        <f>アイスクリームの売り上げデータ!A300</f>
        <v>43763</v>
      </c>
      <c r="J300">
        <f>アイスクリームの売り上げデータ!B300</f>
        <v>6</v>
      </c>
      <c r="K300">
        <f t="shared" si="4"/>
        <v>0</v>
      </c>
    </row>
    <row r="301" spans="9:11">
      <c r="I301" s="15">
        <f>アイスクリームの売り上げデータ!A301</f>
        <v>43764</v>
      </c>
      <c r="J301">
        <f>アイスクリームの売り上げデータ!B301</f>
        <v>7</v>
      </c>
      <c r="K301">
        <f t="shared" si="4"/>
        <v>1</v>
      </c>
    </row>
    <row r="302" spans="9:11">
      <c r="I302" s="15">
        <f>アイスクリームの売り上げデータ!A302</f>
        <v>43765</v>
      </c>
      <c r="J302">
        <f>アイスクリームの売り上げデータ!B302</f>
        <v>1</v>
      </c>
      <c r="K302">
        <f t="shared" si="4"/>
        <v>1</v>
      </c>
    </row>
    <row r="303" spans="9:11">
      <c r="I303" s="15">
        <f>アイスクリームの売り上げデータ!A303</f>
        <v>43766</v>
      </c>
      <c r="J303">
        <f>アイスクリームの売り上げデータ!B303</f>
        <v>2</v>
      </c>
      <c r="K303">
        <f t="shared" si="4"/>
        <v>0</v>
      </c>
    </row>
    <row r="304" spans="9:11">
      <c r="I304" s="15">
        <f>アイスクリームの売り上げデータ!A304</f>
        <v>43767</v>
      </c>
      <c r="J304">
        <f>アイスクリームの売り上げデータ!B304</f>
        <v>3</v>
      </c>
      <c r="K304">
        <f t="shared" si="4"/>
        <v>0</v>
      </c>
    </row>
    <row r="305" spans="9:11">
      <c r="I305" s="15">
        <f>アイスクリームの売り上げデータ!A305</f>
        <v>43768</v>
      </c>
      <c r="J305">
        <f>アイスクリームの売り上げデータ!B305</f>
        <v>4</v>
      </c>
      <c r="K305">
        <f t="shared" si="4"/>
        <v>0</v>
      </c>
    </row>
    <row r="306" spans="9:11">
      <c r="I306" s="15">
        <f>アイスクリームの売り上げデータ!A306</f>
        <v>43769</v>
      </c>
      <c r="J306">
        <f>アイスクリームの売り上げデータ!B306</f>
        <v>5</v>
      </c>
      <c r="K306">
        <f t="shared" si="4"/>
        <v>0</v>
      </c>
    </row>
    <row r="307" spans="9:11">
      <c r="I307" s="15">
        <f>アイスクリームの売り上げデータ!A307</f>
        <v>43770</v>
      </c>
      <c r="J307">
        <f>アイスクリームの売り上げデータ!B307</f>
        <v>6</v>
      </c>
      <c r="K307">
        <f t="shared" si="4"/>
        <v>0</v>
      </c>
    </row>
    <row r="308" spans="9:11">
      <c r="I308" s="15">
        <f>アイスクリームの売り上げデータ!A308</f>
        <v>43771</v>
      </c>
      <c r="J308">
        <f>アイスクリームの売り上げデータ!B308</f>
        <v>7</v>
      </c>
      <c r="K308">
        <f t="shared" si="4"/>
        <v>1</v>
      </c>
    </row>
    <row r="309" spans="9:11">
      <c r="I309" s="15">
        <f>アイスクリームの売り上げデータ!A309</f>
        <v>43772</v>
      </c>
      <c r="J309">
        <f>アイスクリームの売り上げデータ!B309</f>
        <v>1</v>
      </c>
      <c r="K309">
        <f t="shared" si="4"/>
        <v>1</v>
      </c>
    </row>
    <row r="310" spans="9:11">
      <c r="I310" s="15">
        <f>アイスクリームの売り上げデータ!A310</f>
        <v>43773</v>
      </c>
      <c r="J310">
        <f>アイスクリームの売り上げデータ!B310</f>
        <v>2</v>
      </c>
      <c r="K310">
        <f t="shared" si="4"/>
        <v>0</v>
      </c>
    </row>
    <row r="311" spans="9:11">
      <c r="I311" s="15">
        <f>アイスクリームの売り上げデータ!A311</f>
        <v>43774</v>
      </c>
      <c r="J311">
        <f>アイスクリームの売り上げデータ!B311</f>
        <v>3</v>
      </c>
      <c r="K311">
        <f t="shared" si="4"/>
        <v>0</v>
      </c>
    </row>
    <row r="312" spans="9:11">
      <c r="I312" s="15">
        <f>アイスクリームの売り上げデータ!A312</f>
        <v>43775</v>
      </c>
      <c r="J312">
        <f>アイスクリームの売り上げデータ!B312</f>
        <v>4</v>
      </c>
      <c r="K312">
        <f t="shared" si="4"/>
        <v>0</v>
      </c>
    </row>
    <row r="313" spans="9:11">
      <c r="I313" s="15">
        <f>アイスクリームの売り上げデータ!A313</f>
        <v>43776</v>
      </c>
      <c r="J313">
        <f>アイスクリームの売り上げデータ!B313</f>
        <v>5</v>
      </c>
      <c r="K313">
        <f t="shared" si="4"/>
        <v>0</v>
      </c>
    </row>
    <row r="314" spans="9:11">
      <c r="I314" s="15">
        <f>アイスクリームの売り上げデータ!A314</f>
        <v>43777</v>
      </c>
      <c r="J314">
        <f>アイスクリームの売り上げデータ!B314</f>
        <v>6</v>
      </c>
      <c r="K314">
        <f t="shared" si="4"/>
        <v>0</v>
      </c>
    </row>
    <row r="315" spans="9:11">
      <c r="I315" s="15">
        <f>アイスクリームの売り上げデータ!A315</f>
        <v>43778</v>
      </c>
      <c r="J315">
        <f>アイスクリームの売り上げデータ!B315</f>
        <v>7</v>
      </c>
      <c r="K315">
        <f t="shared" si="4"/>
        <v>1</v>
      </c>
    </row>
    <row r="316" spans="9:11">
      <c r="I316" s="15">
        <f>アイスクリームの売り上げデータ!A316</f>
        <v>43779</v>
      </c>
      <c r="J316">
        <f>アイスクリームの売り上げデータ!B316</f>
        <v>1</v>
      </c>
      <c r="K316">
        <f t="shared" si="4"/>
        <v>1</v>
      </c>
    </row>
    <row r="317" spans="9:11">
      <c r="I317" s="15">
        <f>アイスクリームの売り上げデータ!A317</f>
        <v>43780</v>
      </c>
      <c r="J317">
        <f>アイスクリームの売り上げデータ!B317</f>
        <v>2</v>
      </c>
      <c r="K317">
        <f t="shared" si="4"/>
        <v>0</v>
      </c>
    </row>
    <row r="318" spans="9:11">
      <c r="I318" s="15">
        <f>アイスクリームの売り上げデータ!A318</f>
        <v>43781</v>
      </c>
      <c r="J318">
        <f>アイスクリームの売り上げデータ!B318</f>
        <v>3</v>
      </c>
      <c r="K318">
        <f t="shared" si="4"/>
        <v>0</v>
      </c>
    </row>
    <row r="319" spans="9:11">
      <c r="I319" s="15">
        <f>アイスクリームの売り上げデータ!A319</f>
        <v>43782</v>
      </c>
      <c r="J319">
        <f>アイスクリームの売り上げデータ!B319</f>
        <v>4</v>
      </c>
      <c r="K319">
        <f t="shared" si="4"/>
        <v>0</v>
      </c>
    </row>
    <row r="320" spans="9:11">
      <c r="I320" s="15">
        <f>アイスクリームの売り上げデータ!A320</f>
        <v>43783</v>
      </c>
      <c r="J320">
        <f>アイスクリームの売り上げデータ!B320</f>
        <v>5</v>
      </c>
      <c r="K320">
        <f t="shared" si="4"/>
        <v>0</v>
      </c>
    </row>
    <row r="321" spans="9:11">
      <c r="I321" s="15">
        <f>アイスクリームの売り上げデータ!A321</f>
        <v>43784</v>
      </c>
      <c r="J321">
        <f>アイスクリームの売り上げデータ!B321</f>
        <v>6</v>
      </c>
      <c r="K321">
        <f t="shared" si="4"/>
        <v>0</v>
      </c>
    </row>
    <row r="322" spans="9:11">
      <c r="I322" s="15">
        <f>アイスクリームの売り上げデータ!A322</f>
        <v>43785</v>
      </c>
      <c r="J322">
        <f>アイスクリームの売り上げデータ!B322</f>
        <v>7</v>
      </c>
      <c r="K322">
        <f t="shared" si="4"/>
        <v>1</v>
      </c>
    </row>
    <row r="323" spans="9:11">
      <c r="I323" s="15">
        <f>アイスクリームの売り上げデータ!A323</f>
        <v>43786</v>
      </c>
      <c r="J323">
        <f>アイスクリームの売り上げデータ!B323</f>
        <v>1</v>
      </c>
      <c r="K323">
        <f t="shared" si="4"/>
        <v>1</v>
      </c>
    </row>
    <row r="324" spans="9:11">
      <c r="I324" s="15">
        <f>アイスクリームの売り上げデータ!A324</f>
        <v>43787</v>
      </c>
      <c r="J324">
        <f>アイスクリームの売り上げデータ!B324</f>
        <v>2</v>
      </c>
      <c r="K324">
        <f t="shared" ref="K324:K367" si="5">IF(OR(J324=1,J324=7),1,0)</f>
        <v>0</v>
      </c>
    </row>
    <row r="325" spans="9:11">
      <c r="I325" s="15">
        <f>アイスクリームの売り上げデータ!A325</f>
        <v>43788</v>
      </c>
      <c r="J325">
        <f>アイスクリームの売り上げデータ!B325</f>
        <v>3</v>
      </c>
      <c r="K325">
        <f t="shared" si="5"/>
        <v>0</v>
      </c>
    </row>
    <row r="326" spans="9:11">
      <c r="I326" s="15">
        <f>アイスクリームの売り上げデータ!A326</f>
        <v>43789</v>
      </c>
      <c r="J326">
        <f>アイスクリームの売り上げデータ!B326</f>
        <v>4</v>
      </c>
      <c r="K326">
        <f t="shared" si="5"/>
        <v>0</v>
      </c>
    </row>
    <row r="327" spans="9:11">
      <c r="I327" s="15">
        <f>アイスクリームの売り上げデータ!A327</f>
        <v>43790</v>
      </c>
      <c r="J327">
        <f>アイスクリームの売り上げデータ!B327</f>
        <v>5</v>
      </c>
      <c r="K327">
        <f t="shared" si="5"/>
        <v>0</v>
      </c>
    </row>
    <row r="328" spans="9:11">
      <c r="I328" s="15">
        <f>アイスクリームの売り上げデータ!A328</f>
        <v>43791</v>
      </c>
      <c r="J328">
        <f>アイスクリームの売り上げデータ!B328</f>
        <v>6</v>
      </c>
      <c r="K328">
        <f t="shared" si="5"/>
        <v>0</v>
      </c>
    </row>
    <row r="329" spans="9:11">
      <c r="I329" s="15">
        <f>アイスクリームの売り上げデータ!A329</f>
        <v>43792</v>
      </c>
      <c r="J329">
        <f>アイスクリームの売り上げデータ!B329</f>
        <v>7</v>
      </c>
      <c r="K329">
        <f t="shared" si="5"/>
        <v>1</v>
      </c>
    </row>
    <row r="330" spans="9:11">
      <c r="I330" s="15">
        <f>アイスクリームの売り上げデータ!A330</f>
        <v>43793</v>
      </c>
      <c r="J330">
        <f>アイスクリームの売り上げデータ!B330</f>
        <v>1</v>
      </c>
      <c r="K330">
        <f t="shared" si="5"/>
        <v>1</v>
      </c>
    </row>
    <row r="331" spans="9:11">
      <c r="I331" s="15">
        <f>アイスクリームの売り上げデータ!A331</f>
        <v>43794</v>
      </c>
      <c r="J331">
        <f>アイスクリームの売り上げデータ!B331</f>
        <v>2</v>
      </c>
      <c r="K331">
        <f t="shared" si="5"/>
        <v>0</v>
      </c>
    </row>
    <row r="332" spans="9:11">
      <c r="I332" s="15">
        <f>アイスクリームの売り上げデータ!A332</f>
        <v>43795</v>
      </c>
      <c r="J332">
        <f>アイスクリームの売り上げデータ!B332</f>
        <v>3</v>
      </c>
      <c r="K332">
        <f t="shared" si="5"/>
        <v>0</v>
      </c>
    </row>
    <row r="333" spans="9:11">
      <c r="I333" s="15">
        <f>アイスクリームの売り上げデータ!A333</f>
        <v>43796</v>
      </c>
      <c r="J333">
        <f>アイスクリームの売り上げデータ!B333</f>
        <v>4</v>
      </c>
      <c r="K333">
        <f t="shared" si="5"/>
        <v>0</v>
      </c>
    </row>
    <row r="334" spans="9:11">
      <c r="I334" s="15">
        <f>アイスクリームの売り上げデータ!A334</f>
        <v>43797</v>
      </c>
      <c r="J334">
        <f>アイスクリームの売り上げデータ!B334</f>
        <v>5</v>
      </c>
      <c r="K334">
        <f t="shared" si="5"/>
        <v>0</v>
      </c>
    </row>
    <row r="335" spans="9:11">
      <c r="I335" s="15">
        <f>アイスクリームの売り上げデータ!A335</f>
        <v>43798</v>
      </c>
      <c r="J335">
        <f>アイスクリームの売り上げデータ!B335</f>
        <v>6</v>
      </c>
      <c r="K335">
        <f t="shared" si="5"/>
        <v>0</v>
      </c>
    </row>
    <row r="336" spans="9:11">
      <c r="I336" s="15">
        <f>アイスクリームの売り上げデータ!A336</f>
        <v>43799</v>
      </c>
      <c r="J336">
        <f>アイスクリームの売り上げデータ!B336</f>
        <v>7</v>
      </c>
      <c r="K336">
        <f t="shared" si="5"/>
        <v>1</v>
      </c>
    </row>
    <row r="337" spans="9:11">
      <c r="I337" s="15">
        <f>アイスクリームの売り上げデータ!A337</f>
        <v>43800</v>
      </c>
      <c r="J337">
        <f>アイスクリームの売り上げデータ!B337</f>
        <v>1</v>
      </c>
      <c r="K337">
        <f t="shared" si="5"/>
        <v>1</v>
      </c>
    </row>
    <row r="338" spans="9:11">
      <c r="I338" s="15">
        <f>アイスクリームの売り上げデータ!A338</f>
        <v>43801</v>
      </c>
      <c r="J338">
        <f>アイスクリームの売り上げデータ!B338</f>
        <v>2</v>
      </c>
      <c r="K338">
        <f t="shared" si="5"/>
        <v>0</v>
      </c>
    </row>
    <row r="339" spans="9:11">
      <c r="I339" s="15">
        <f>アイスクリームの売り上げデータ!A339</f>
        <v>43802</v>
      </c>
      <c r="J339">
        <f>アイスクリームの売り上げデータ!B339</f>
        <v>3</v>
      </c>
      <c r="K339">
        <f t="shared" si="5"/>
        <v>0</v>
      </c>
    </row>
    <row r="340" spans="9:11">
      <c r="I340" s="15">
        <f>アイスクリームの売り上げデータ!A340</f>
        <v>43803</v>
      </c>
      <c r="J340">
        <f>アイスクリームの売り上げデータ!B340</f>
        <v>4</v>
      </c>
      <c r="K340">
        <f t="shared" si="5"/>
        <v>0</v>
      </c>
    </row>
    <row r="341" spans="9:11">
      <c r="I341" s="15">
        <f>アイスクリームの売り上げデータ!A341</f>
        <v>43804</v>
      </c>
      <c r="J341">
        <f>アイスクリームの売り上げデータ!B341</f>
        <v>5</v>
      </c>
      <c r="K341">
        <f t="shared" si="5"/>
        <v>0</v>
      </c>
    </row>
    <row r="342" spans="9:11">
      <c r="I342" s="15">
        <f>アイスクリームの売り上げデータ!A342</f>
        <v>43805</v>
      </c>
      <c r="J342">
        <f>アイスクリームの売り上げデータ!B342</f>
        <v>6</v>
      </c>
      <c r="K342">
        <f t="shared" si="5"/>
        <v>0</v>
      </c>
    </row>
    <row r="343" spans="9:11">
      <c r="I343" s="15">
        <f>アイスクリームの売り上げデータ!A343</f>
        <v>43806</v>
      </c>
      <c r="J343">
        <f>アイスクリームの売り上げデータ!B343</f>
        <v>7</v>
      </c>
      <c r="K343">
        <f t="shared" si="5"/>
        <v>1</v>
      </c>
    </row>
    <row r="344" spans="9:11">
      <c r="I344" s="15">
        <f>アイスクリームの売り上げデータ!A344</f>
        <v>43807</v>
      </c>
      <c r="J344">
        <f>アイスクリームの売り上げデータ!B344</f>
        <v>1</v>
      </c>
      <c r="K344">
        <f t="shared" si="5"/>
        <v>1</v>
      </c>
    </row>
    <row r="345" spans="9:11">
      <c r="I345" s="15">
        <f>アイスクリームの売り上げデータ!A345</f>
        <v>43808</v>
      </c>
      <c r="J345">
        <f>アイスクリームの売り上げデータ!B345</f>
        <v>2</v>
      </c>
      <c r="K345">
        <f t="shared" si="5"/>
        <v>0</v>
      </c>
    </row>
    <row r="346" spans="9:11">
      <c r="I346" s="15">
        <f>アイスクリームの売り上げデータ!A346</f>
        <v>43809</v>
      </c>
      <c r="J346">
        <f>アイスクリームの売り上げデータ!B346</f>
        <v>3</v>
      </c>
      <c r="K346">
        <f t="shared" si="5"/>
        <v>0</v>
      </c>
    </row>
    <row r="347" spans="9:11">
      <c r="I347" s="15">
        <f>アイスクリームの売り上げデータ!A347</f>
        <v>43810</v>
      </c>
      <c r="J347">
        <f>アイスクリームの売り上げデータ!B347</f>
        <v>4</v>
      </c>
      <c r="K347">
        <f t="shared" si="5"/>
        <v>0</v>
      </c>
    </row>
    <row r="348" spans="9:11">
      <c r="I348" s="15">
        <f>アイスクリームの売り上げデータ!A348</f>
        <v>43811</v>
      </c>
      <c r="J348">
        <f>アイスクリームの売り上げデータ!B348</f>
        <v>5</v>
      </c>
      <c r="K348">
        <f t="shared" si="5"/>
        <v>0</v>
      </c>
    </row>
    <row r="349" spans="9:11">
      <c r="I349" s="15">
        <f>アイスクリームの売り上げデータ!A349</f>
        <v>43812</v>
      </c>
      <c r="J349">
        <f>アイスクリームの売り上げデータ!B349</f>
        <v>6</v>
      </c>
      <c r="K349">
        <f t="shared" si="5"/>
        <v>0</v>
      </c>
    </row>
    <row r="350" spans="9:11">
      <c r="I350" s="15">
        <f>アイスクリームの売り上げデータ!A350</f>
        <v>43813</v>
      </c>
      <c r="J350">
        <f>アイスクリームの売り上げデータ!B350</f>
        <v>7</v>
      </c>
      <c r="K350">
        <f t="shared" si="5"/>
        <v>1</v>
      </c>
    </row>
    <row r="351" spans="9:11">
      <c r="I351" s="15">
        <f>アイスクリームの売り上げデータ!A351</f>
        <v>43814</v>
      </c>
      <c r="J351">
        <f>アイスクリームの売り上げデータ!B351</f>
        <v>1</v>
      </c>
      <c r="K351">
        <f t="shared" si="5"/>
        <v>1</v>
      </c>
    </row>
    <row r="352" spans="9:11">
      <c r="I352" s="15">
        <f>アイスクリームの売り上げデータ!A352</f>
        <v>43815</v>
      </c>
      <c r="J352">
        <f>アイスクリームの売り上げデータ!B352</f>
        <v>2</v>
      </c>
      <c r="K352">
        <f t="shared" si="5"/>
        <v>0</v>
      </c>
    </row>
    <row r="353" spans="9:11">
      <c r="I353" s="15">
        <f>アイスクリームの売り上げデータ!A353</f>
        <v>43816</v>
      </c>
      <c r="J353">
        <f>アイスクリームの売り上げデータ!B353</f>
        <v>3</v>
      </c>
      <c r="K353">
        <f t="shared" si="5"/>
        <v>0</v>
      </c>
    </row>
    <row r="354" spans="9:11">
      <c r="I354" s="15">
        <f>アイスクリームの売り上げデータ!A354</f>
        <v>43817</v>
      </c>
      <c r="J354">
        <f>アイスクリームの売り上げデータ!B354</f>
        <v>4</v>
      </c>
      <c r="K354">
        <f t="shared" si="5"/>
        <v>0</v>
      </c>
    </row>
    <row r="355" spans="9:11">
      <c r="I355" s="15">
        <f>アイスクリームの売り上げデータ!A355</f>
        <v>43818</v>
      </c>
      <c r="J355">
        <f>アイスクリームの売り上げデータ!B355</f>
        <v>5</v>
      </c>
      <c r="K355">
        <f t="shared" si="5"/>
        <v>0</v>
      </c>
    </row>
    <row r="356" spans="9:11">
      <c r="I356" s="15">
        <f>アイスクリームの売り上げデータ!A356</f>
        <v>43819</v>
      </c>
      <c r="J356">
        <f>アイスクリームの売り上げデータ!B356</f>
        <v>6</v>
      </c>
      <c r="K356">
        <f t="shared" si="5"/>
        <v>0</v>
      </c>
    </row>
    <row r="357" spans="9:11">
      <c r="I357" s="15">
        <f>アイスクリームの売り上げデータ!A357</f>
        <v>43820</v>
      </c>
      <c r="J357">
        <f>アイスクリームの売り上げデータ!B357</f>
        <v>7</v>
      </c>
      <c r="K357">
        <f t="shared" si="5"/>
        <v>1</v>
      </c>
    </row>
    <row r="358" spans="9:11">
      <c r="I358" s="15">
        <f>アイスクリームの売り上げデータ!A358</f>
        <v>43821</v>
      </c>
      <c r="J358">
        <f>アイスクリームの売り上げデータ!B358</f>
        <v>1</v>
      </c>
      <c r="K358">
        <f t="shared" si="5"/>
        <v>1</v>
      </c>
    </row>
    <row r="359" spans="9:11">
      <c r="I359" s="15">
        <f>アイスクリームの売り上げデータ!A359</f>
        <v>43822</v>
      </c>
      <c r="J359">
        <f>アイスクリームの売り上げデータ!B359</f>
        <v>2</v>
      </c>
      <c r="K359">
        <f t="shared" si="5"/>
        <v>0</v>
      </c>
    </row>
    <row r="360" spans="9:11">
      <c r="I360" s="15">
        <f>アイスクリームの売り上げデータ!A360</f>
        <v>43823</v>
      </c>
      <c r="J360">
        <f>アイスクリームの売り上げデータ!B360</f>
        <v>3</v>
      </c>
      <c r="K360">
        <f t="shared" si="5"/>
        <v>0</v>
      </c>
    </row>
    <row r="361" spans="9:11">
      <c r="I361" s="15">
        <f>アイスクリームの売り上げデータ!A361</f>
        <v>43824</v>
      </c>
      <c r="J361">
        <f>アイスクリームの売り上げデータ!B361</f>
        <v>4</v>
      </c>
      <c r="K361">
        <f t="shared" si="5"/>
        <v>0</v>
      </c>
    </row>
    <row r="362" spans="9:11">
      <c r="I362" s="15">
        <f>アイスクリームの売り上げデータ!A362</f>
        <v>43825</v>
      </c>
      <c r="J362">
        <f>アイスクリームの売り上げデータ!B362</f>
        <v>5</v>
      </c>
      <c r="K362">
        <f t="shared" si="5"/>
        <v>0</v>
      </c>
    </row>
    <row r="363" spans="9:11">
      <c r="I363" s="15">
        <f>アイスクリームの売り上げデータ!A363</f>
        <v>43826</v>
      </c>
      <c r="J363">
        <f>アイスクリームの売り上げデータ!B363</f>
        <v>6</v>
      </c>
      <c r="K363">
        <f t="shared" si="5"/>
        <v>0</v>
      </c>
    </row>
    <row r="364" spans="9:11">
      <c r="I364" s="15">
        <f>アイスクリームの売り上げデータ!A364</f>
        <v>43827</v>
      </c>
      <c r="J364">
        <f>アイスクリームの売り上げデータ!B364</f>
        <v>7</v>
      </c>
      <c r="K364">
        <f t="shared" si="5"/>
        <v>1</v>
      </c>
    </row>
    <row r="365" spans="9:11">
      <c r="I365" s="15">
        <f>アイスクリームの売り上げデータ!A365</f>
        <v>43828</v>
      </c>
      <c r="J365">
        <f>アイスクリームの売り上げデータ!B365</f>
        <v>1</v>
      </c>
      <c r="K365">
        <f t="shared" si="5"/>
        <v>1</v>
      </c>
    </row>
    <row r="366" spans="9:11">
      <c r="I366" s="15">
        <f>アイスクリームの売り上げデータ!A366</f>
        <v>43829</v>
      </c>
      <c r="J366">
        <f>アイスクリームの売り上げデータ!B366</f>
        <v>2</v>
      </c>
      <c r="K366">
        <f t="shared" si="5"/>
        <v>0</v>
      </c>
    </row>
    <row r="367" spans="9:11">
      <c r="I367" s="15">
        <f>アイスクリームの売り上げデータ!A367</f>
        <v>43830</v>
      </c>
      <c r="J367">
        <f>アイスクリームの売り上げデータ!B367</f>
        <v>3</v>
      </c>
      <c r="K367">
        <f t="shared" si="5"/>
        <v>0</v>
      </c>
    </row>
  </sheetData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B2E6-0BB9-E145-88F3-23231B35E8C9}">
  <dimension ref="B2:K367"/>
  <sheetViews>
    <sheetView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R50" sqref="R50"/>
    </sheetView>
  </sheetViews>
  <sheetFormatPr baseColWidth="10" defaultRowHeight="16"/>
  <cols>
    <col min="2" max="2" width="10.7109375" style="15"/>
    <col min="7" max="7" width="12" bestFit="1" customWidth="1"/>
    <col min="8" max="8" width="11.28515625" customWidth="1"/>
    <col min="9" max="9" width="10.7109375" customWidth="1"/>
  </cols>
  <sheetData>
    <row r="2" spans="2:11" ht="17">
      <c r="B2" s="18"/>
      <c r="C2" s="19" t="s">
        <v>2</v>
      </c>
      <c r="D2" s="19" t="s">
        <v>10</v>
      </c>
      <c r="F2" s="12" t="s">
        <v>50</v>
      </c>
      <c r="G2" s="12" t="s">
        <v>51</v>
      </c>
    </row>
    <row r="3" spans="2:11">
      <c r="B3" s="17">
        <f>アイスクリームの売り上げデータ!A3</f>
        <v>43466</v>
      </c>
      <c r="C3" s="11">
        <f>アイスクリームの売り上げデータ!C3</f>
        <v>5.3</v>
      </c>
      <c r="D3" s="11">
        <f>アイスクリームの売り上げデータ!G3</f>
        <v>101</v>
      </c>
      <c r="F3" s="11">
        <v>0</v>
      </c>
      <c r="G3" s="11">
        <f>F3*K$5+K$6</f>
        <v>102.36877069994785</v>
      </c>
    </row>
    <row r="4" spans="2:11" ht="17">
      <c r="B4" s="17">
        <f>アイスクリームの売り上げデータ!A4</f>
        <v>43467</v>
      </c>
      <c r="C4" s="11">
        <f>アイスクリームの売り上げデータ!C4</f>
        <v>6.2</v>
      </c>
      <c r="D4" s="11">
        <f>アイスクリームの売り上げデータ!G4</f>
        <v>119</v>
      </c>
      <c r="F4" s="11">
        <v>1</v>
      </c>
      <c r="G4" s="11">
        <f t="shared" ref="G4:G48" si="0">F4*K$5+K$6</f>
        <v>105.82530305461665</v>
      </c>
      <c r="J4" s="12" t="s">
        <v>42</v>
      </c>
      <c r="K4" s="11">
        <f>CORREL(C3:C367,D3:D367)</f>
        <v>0.57082458215972387</v>
      </c>
    </row>
    <row r="5" spans="2:11" ht="17">
      <c r="B5" s="17">
        <f>アイスクリームの売り上げデータ!A5</f>
        <v>43468</v>
      </c>
      <c r="C5" s="11">
        <f>アイスクリームの売り上げデータ!C5</f>
        <v>4.9000000000000004</v>
      </c>
      <c r="D5" s="11">
        <f>アイスクリームの売り上げデータ!G5</f>
        <v>98</v>
      </c>
      <c r="F5" s="11">
        <v>2</v>
      </c>
      <c r="G5" s="11">
        <f t="shared" si="0"/>
        <v>109.28183540928546</v>
      </c>
      <c r="J5" s="12" t="s">
        <v>48</v>
      </c>
      <c r="K5" s="11">
        <f>SLOPE(D3:D367,C3:C367)</f>
        <v>3.4565323546688091</v>
      </c>
    </row>
    <row r="6" spans="2:11" ht="17">
      <c r="B6" s="17">
        <f>アイスクリームの売り上げデータ!A6</f>
        <v>43469</v>
      </c>
      <c r="C6" s="11">
        <f>アイスクリームの売り上げデータ!C6</f>
        <v>5.0999999999999996</v>
      </c>
      <c r="D6" s="11">
        <f>アイスクリームの売り上げデータ!G6</f>
        <v>106</v>
      </c>
      <c r="F6" s="11">
        <v>3</v>
      </c>
      <c r="G6" s="11">
        <f t="shared" si="0"/>
        <v>112.73836776395427</v>
      </c>
      <c r="J6" s="12" t="s">
        <v>49</v>
      </c>
      <c r="K6" s="11">
        <f>INTERCEPT(D3:D367,C3:C367)</f>
        <v>102.36877069994785</v>
      </c>
    </row>
    <row r="7" spans="2:11">
      <c r="B7" s="17">
        <f>アイスクリームの売り上げデータ!A7</f>
        <v>43470</v>
      </c>
      <c r="C7" s="11">
        <f>アイスクリームの売り上げデータ!C7</f>
        <v>7.4</v>
      </c>
      <c r="D7" s="11">
        <f>アイスクリームの売り上げデータ!G7</f>
        <v>174</v>
      </c>
      <c r="F7" s="11">
        <v>4</v>
      </c>
      <c r="G7" s="11">
        <f t="shared" si="0"/>
        <v>116.19490011862308</v>
      </c>
    </row>
    <row r="8" spans="2:11">
      <c r="B8" s="17">
        <f>アイスクリームの売り上げデータ!A8</f>
        <v>43471</v>
      </c>
      <c r="C8" s="11">
        <f>アイスクリームの売り上げデータ!C8</f>
        <v>5.3</v>
      </c>
      <c r="D8" s="11">
        <f>アイスクリームの売り上げデータ!G8</f>
        <v>206</v>
      </c>
      <c r="F8" s="11">
        <v>5</v>
      </c>
      <c r="G8" s="11">
        <f t="shared" si="0"/>
        <v>119.65143247329189</v>
      </c>
    </row>
    <row r="9" spans="2:11">
      <c r="B9" s="17">
        <f>アイスクリームの売り上げデータ!A9</f>
        <v>43472</v>
      </c>
      <c r="C9" s="11">
        <f>アイスクリームの売り上げデータ!C9</f>
        <v>5.4</v>
      </c>
      <c r="D9" s="11">
        <f>アイスクリームの売り上げデータ!G9</f>
        <v>90</v>
      </c>
      <c r="F9" s="11">
        <v>6</v>
      </c>
      <c r="G9" s="11">
        <f t="shared" si="0"/>
        <v>123.1079648279607</v>
      </c>
    </row>
    <row r="10" spans="2:11">
      <c r="B10" s="17">
        <f>アイスクリームの売り上げデータ!A10</f>
        <v>43473</v>
      </c>
      <c r="C10" s="11">
        <f>アイスクリームの売り上げデータ!C10</f>
        <v>4.5999999999999996</v>
      </c>
      <c r="D10" s="11">
        <f>アイスクリームの売り上げデータ!G10</f>
        <v>110</v>
      </c>
      <c r="F10" s="11">
        <v>7</v>
      </c>
      <c r="G10" s="11">
        <f t="shared" si="0"/>
        <v>126.56449718262951</v>
      </c>
    </row>
    <row r="11" spans="2:11">
      <c r="B11" s="17">
        <f>アイスクリームの売り上げデータ!A11</f>
        <v>43474</v>
      </c>
      <c r="C11" s="11">
        <f>アイスクリームの売り上げデータ!C11</f>
        <v>4.5</v>
      </c>
      <c r="D11" s="11">
        <f>アイスクリームの売り上げデータ!G11</f>
        <v>117</v>
      </c>
      <c r="F11" s="11">
        <v>8</v>
      </c>
      <c r="G11" s="11">
        <f t="shared" si="0"/>
        <v>130.02102953729832</v>
      </c>
    </row>
    <row r="12" spans="2:11">
      <c r="B12" s="17">
        <f>アイスクリームの売り上げデータ!A12</f>
        <v>43475</v>
      </c>
      <c r="C12" s="11">
        <f>アイスクリームの売り上げデータ!C12</f>
        <v>2</v>
      </c>
      <c r="D12" s="11">
        <f>アイスクリームの売り上げデータ!G12</f>
        <v>104</v>
      </c>
      <c r="F12" s="11">
        <v>9</v>
      </c>
      <c r="G12" s="11">
        <f t="shared" si="0"/>
        <v>133.47756189196713</v>
      </c>
    </row>
    <row r="13" spans="2:11">
      <c r="B13" s="17">
        <f>アイスクリームの売り上げデータ!A13</f>
        <v>43476</v>
      </c>
      <c r="C13" s="11">
        <f>アイスクリームの売り上げデータ!C13</f>
        <v>6.4</v>
      </c>
      <c r="D13" s="11">
        <f>アイスクリームの売り上げデータ!G13</f>
        <v>117</v>
      </c>
      <c r="F13" s="11">
        <v>10</v>
      </c>
      <c r="G13" s="11">
        <f t="shared" si="0"/>
        <v>136.93409424663594</v>
      </c>
    </row>
    <row r="14" spans="2:11">
      <c r="B14" s="17">
        <f>アイスクリームの売り上げデータ!A14</f>
        <v>43477</v>
      </c>
      <c r="C14" s="11">
        <f>アイスクリームの売り上げデータ!C14</f>
        <v>4.5999999999999996</v>
      </c>
      <c r="D14" s="11">
        <f>アイスクリームの売り上げデータ!G14</f>
        <v>161</v>
      </c>
      <c r="F14" s="11">
        <v>11</v>
      </c>
      <c r="G14" s="11">
        <f t="shared" si="0"/>
        <v>140.39062660130475</v>
      </c>
    </row>
    <row r="15" spans="2:11">
      <c r="B15" s="17">
        <f>アイスクリームの売り上げデータ!A15</f>
        <v>43478</v>
      </c>
      <c r="C15" s="11">
        <f>アイスクリームの売り上げデータ!C15</f>
        <v>6.2</v>
      </c>
      <c r="D15" s="11">
        <f>アイスクリームの売り上げデータ!G15</f>
        <v>176</v>
      </c>
      <c r="F15" s="11">
        <v>12</v>
      </c>
      <c r="G15" s="11">
        <f t="shared" si="0"/>
        <v>143.84715895597355</v>
      </c>
    </row>
    <row r="16" spans="2:11">
      <c r="B16" s="17">
        <f>アイスクリームの売り上げデータ!A16</f>
        <v>43479</v>
      </c>
      <c r="C16" s="11">
        <f>アイスクリームの売り上げデータ!C16</f>
        <v>5.6</v>
      </c>
      <c r="D16" s="11">
        <f>アイスクリームの売り上げデータ!G16</f>
        <v>87</v>
      </c>
      <c r="F16" s="11">
        <v>13</v>
      </c>
      <c r="G16" s="11">
        <f t="shared" si="0"/>
        <v>147.30369131064236</v>
      </c>
    </row>
    <row r="17" spans="2:7">
      <c r="B17" s="17">
        <f>アイスクリームの売り上げデータ!A17</f>
        <v>43480</v>
      </c>
      <c r="C17" s="11">
        <f>アイスクリームの売り上げデータ!C17</f>
        <v>5.6</v>
      </c>
      <c r="D17" s="11">
        <f>アイスクリームの売り上げデータ!G17</f>
        <v>100</v>
      </c>
      <c r="F17" s="11">
        <v>14</v>
      </c>
      <c r="G17" s="11">
        <f t="shared" si="0"/>
        <v>150.76022366531117</v>
      </c>
    </row>
    <row r="18" spans="2:7">
      <c r="B18" s="17">
        <f>アイスクリームの売り上げデータ!A18</f>
        <v>43481</v>
      </c>
      <c r="C18" s="11">
        <f>アイスクリームの売り上げデータ!C18</f>
        <v>6.6</v>
      </c>
      <c r="D18" s="11">
        <f>アイスクリームの売り上げデータ!G18</f>
        <v>130</v>
      </c>
      <c r="F18" s="11">
        <v>15</v>
      </c>
      <c r="G18" s="11">
        <f t="shared" si="0"/>
        <v>154.21675601997998</v>
      </c>
    </row>
    <row r="19" spans="2:7">
      <c r="B19" s="17">
        <f>アイスクリームの売り上げデータ!A19</f>
        <v>43482</v>
      </c>
      <c r="C19" s="11">
        <f>アイスクリームの売り上げデータ!C19</f>
        <v>6.6</v>
      </c>
      <c r="D19" s="11">
        <f>アイスクリームの売り上げデータ!G19</f>
        <v>117</v>
      </c>
      <c r="F19" s="11">
        <v>16</v>
      </c>
      <c r="G19" s="11">
        <f t="shared" si="0"/>
        <v>157.67328837464879</v>
      </c>
    </row>
    <row r="20" spans="2:7">
      <c r="B20" s="17">
        <f>アイスクリームの売り上げデータ!A20</f>
        <v>43483</v>
      </c>
      <c r="C20" s="11">
        <f>アイスクリームの売り上げデータ!C20</f>
        <v>5.9</v>
      </c>
      <c r="D20" s="11">
        <f>アイスクリームの売り上げデータ!G20</f>
        <v>102</v>
      </c>
      <c r="F20" s="11">
        <v>17</v>
      </c>
      <c r="G20" s="11">
        <f t="shared" si="0"/>
        <v>161.1298207293176</v>
      </c>
    </row>
    <row r="21" spans="2:7">
      <c r="B21" s="17">
        <f>アイスクリームの売り上げデータ!A21</f>
        <v>43484</v>
      </c>
      <c r="C21" s="11">
        <f>アイスクリームの売り上げデータ!C21</f>
        <v>6.6</v>
      </c>
      <c r="D21" s="11">
        <f>アイスクリームの売り上げデータ!G21</f>
        <v>160</v>
      </c>
      <c r="F21" s="11">
        <v>18</v>
      </c>
      <c r="G21" s="11">
        <f t="shared" si="0"/>
        <v>164.58635308398641</v>
      </c>
    </row>
    <row r="22" spans="2:7">
      <c r="B22" s="17">
        <f>アイスクリームの売り上げデータ!A22</f>
        <v>43485</v>
      </c>
      <c r="C22" s="11">
        <f>アイスクリームの売り上げデータ!C22</f>
        <v>7.1</v>
      </c>
      <c r="D22" s="11">
        <f>アイスクリームの売り上げデータ!G22</f>
        <v>187</v>
      </c>
      <c r="F22" s="11">
        <v>19</v>
      </c>
      <c r="G22" s="11">
        <f t="shared" si="0"/>
        <v>168.04288543865522</v>
      </c>
    </row>
    <row r="23" spans="2:7">
      <c r="B23" s="17">
        <f>アイスクリームの売り上げデータ!A23</f>
        <v>43486</v>
      </c>
      <c r="C23" s="11">
        <f>アイスクリームの売り上げデータ!C23</f>
        <v>5.8</v>
      </c>
      <c r="D23" s="11">
        <f>アイスクリームの売り上げデータ!G23</f>
        <v>90</v>
      </c>
      <c r="F23" s="11">
        <v>20</v>
      </c>
      <c r="G23" s="11">
        <f t="shared" si="0"/>
        <v>171.49941779332403</v>
      </c>
    </row>
    <row r="24" spans="2:7">
      <c r="B24" s="17">
        <f>アイスクリームの売り上げデータ!A24</f>
        <v>43487</v>
      </c>
      <c r="C24" s="11">
        <f>アイスクリームの売り上げデータ!C24</f>
        <v>5</v>
      </c>
      <c r="D24" s="11">
        <f>アイスクリームの売り上げデータ!G24</f>
        <v>98</v>
      </c>
      <c r="F24" s="11">
        <v>21</v>
      </c>
      <c r="G24" s="11">
        <f t="shared" si="0"/>
        <v>174.95595014799284</v>
      </c>
    </row>
    <row r="25" spans="2:7">
      <c r="B25" s="17">
        <f>アイスクリームの売り上げデータ!A25</f>
        <v>43488</v>
      </c>
      <c r="C25" s="11">
        <f>アイスクリームの売り上げデータ!C25</f>
        <v>6.7</v>
      </c>
      <c r="D25" s="11">
        <f>アイスクリームの売り上げデータ!G25</f>
        <v>139</v>
      </c>
      <c r="F25" s="11">
        <v>22</v>
      </c>
      <c r="G25" s="11">
        <f t="shared" si="0"/>
        <v>178.41248250266165</v>
      </c>
    </row>
    <row r="26" spans="2:7">
      <c r="B26" s="17">
        <f>アイスクリームの売り上げデータ!A26</f>
        <v>43489</v>
      </c>
      <c r="C26" s="11">
        <f>アイスクリームの売り上げデータ!C26</f>
        <v>6.2</v>
      </c>
      <c r="D26" s="11">
        <f>アイスクリームの売り上げデータ!G26</f>
        <v>112</v>
      </c>
      <c r="F26" s="11">
        <v>23</v>
      </c>
      <c r="G26" s="11">
        <f t="shared" si="0"/>
        <v>181.86901485733046</v>
      </c>
    </row>
    <row r="27" spans="2:7">
      <c r="B27" s="17">
        <f>アイスクリームの売り上げデータ!A27</f>
        <v>43490</v>
      </c>
      <c r="C27" s="11">
        <f>アイスクリームの売り上げデータ!C27</f>
        <v>6</v>
      </c>
      <c r="D27" s="11">
        <f>アイスクリームの売り上げデータ!G27</f>
        <v>111</v>
      </c>
      <c r="F27" s="11">
        <v>24</v>
      </c>
      <c r="G27" s="11">
        <f t="shared" si="0"/>
        <v>185.32554721199926</v>
      </c>
    </row>
    <row r="28" spans="2:7">
      <c r="B28" s="17">
        <f>アイスクリームの売り上げデータ!A28</f>
        <v>43491</v>
      </c>
      <c r="C28" s="11">
        <f>アイスクリームの売り上げデータ!C28</f>
        <v>4.5</v>
      </c>
      <c r="D28" s="11">
        <f>アイスクリームの売り上げデータ!G28</f>
        <v>152</v>
      </c>
      <c r="F28" s="11">
        <v>25</v>
      </c>
      <c r="G28" s="11">
        <f t="shared" si="0"/>
        <v>188.78207956666807</v>
      </c>
    </row>
    <row r="29" spans="2:7">
      <c r="B29" s="17">
        <f>アイスクリームの売り上げデータ!A29</f>
        <v>43492</v>
      </c>
      <c r="C29" s="11">
        <f>アイスクリームの売り上げデータ!C29</f>
        <v>4.5999999999999996</v>
      </c>
      <c r="D29" s="11">
        <f>アイスクリームの売り上げデータ!G29</f>
        <v>170</v>
      </c>
      <c r="F29" s="11">
        <v>26</v>
      </c>
      <c r="G29" s="11">
        <f t="shared" si="0"/>
        <v>192.23861192133688</v>
      </c>
    </row>
    <row r="30" spans="2:7">
      <c r="B30" s="17">
        <f>アイスクリームの売り上げデータ!A30</f>
        <v>43493</v>
      </c>
      <c r="C30" s="11">
        <f>アイスクリームの売り上げデータ!C30</f>
        <v>6.5</v>
      </c>
      <c r="D30" s="11">
        <f>アイスクリームの売り上げデータ!G30</f>
        <v>80</v>
      </c>
      <c r="F30" s="11">
        <v>27</v>
      </c>
      <c r="G30" s="11">
        <f>F30*K$5+K$6</f>
        <v>195.69514427600569</v>
      </c>
    </row>
    <row r="31" spans="2:7">
      <c r="B31" s="17">
        <f>アイスクリームの売り上げデータ!A31</f>
        <v>43494</v>
      </c>
      <c r="C31" s="11">
        <f>アイスクリームの売り上げデータ!C31</f>
        <v>6</v>
      </c>
      <c r="D31" s="11">
        <f>アイスクリームの売り上げデータ!G31</f>
        <v>115</v>
      </c>
      <c r="F31" s="11">
        <v>28</v>
      </c>
      <c r="G31" s="11">
        <f t="shared" si="0"/>
        <v>199.1516766306745</v>
      </c>
    </row>
    <row r="32" spans="2:7">
      <c r="B32" s="17">
        <f>アイスクリームの売り上げデータ!A32</f>
        <v>43495</v>
      </c>
      <c r="C32" s="11">
        <f>アイスクリームの売り上げデータ!C32</f>
        <v>5.2</v>
      </c>
      <c r="D32" s="11">
        <f>アイスクリームの売り上げデータ!G32</f>
        <v>120</v>
      </c>
      <c r="F32" s="11">
        <v>29</v>
      </c>
      <c r="G32" s="11">
        <f t="shared" si="0"/>
        <v>202.60820898534331</v>
      </c>
    </row>
    <row r="33" spans="2:7">
      <c r="B33" s="17">
        <f>アイスクリームの売り上げデータ!A33</f>
        <v>43496</v>
      </c>
      <c r="C33" s="11">
        <f>アイスクリームの売り上げデータ!C33</f>
        <v>5.0999999999999996</v>
      </c>
      <c r="D33" s="11">
        <f>アイスクリームの売り上げデータ!G33</f>
        <v>94</v>
      </c>
      <c r="F33" s="11">
        <v>30</v>
      </c>
      <c r="G33" s="11">
        <f t="shared" si="0"/>
        <v>206.06474134001212</v>
      </c>
    </row>
    <row r="34" spans="2:7">
      <c r="B34" s="17">
        <f>アイスクリームの売り上げデータ!A34</f>
        <v>43497</v>
      </c>
      <c r="C34" s="11">
        <f>アイスクリームの売り上げデータ!C34</f>
        <v>4.0999999999999996</v>
      </c>
      <c r="D34" s="11">
        <f>アイスクリームの売り上げデータ!G34</f>
        <v>97</v>
      </c>
      <c r="F34" s="11">
        <v>31</v>
      </c>
      <c r="G34" s="11">
        <f t="shared" si="0"/>
        <v>209.52127369468093</v>
      </c>
    </row>
    <row r="35" spans="2:7">
      <c r="B35" s="17">
        <f>アイスクリームの売り上げデータ!A35</f>
        <v>43498</v>
      </c>
      <c r="C35" s="11">
        <f>アイスクリームの売り上げデータ!C35</f>
        <v>6</v>
      </c>
      <c r="D35" s="11">
        <f>アイスクリームの売り上げデータ!G35</f>
        <v>149</v>
      </c>
      <c r="F35" s="11">
        <v>32</v>
      </c>
      <c r="G35" s="11">
        <f t="shared" si="0"/>
        <v>212.97780604934974</v>
      </c>
    </row>
    <row r="36" spans="2:7">
      <c r="B36" s="17">
        <f>アイスクリームの売り上げデータ!A36</f>
        <v>43499</v>
      </c>
      <c r="C36" s="11">
        <f>アイスクリームの売り上げデータ!C36</f>
        <v>8.5</v>
      </c>
      <c r="D36" s="11">
        <f>アイスクリームの売り上げデータ!G36</f>
        <v>176</v>
      </c>
      <c r="F36" s="11">
        <v>33</v>
      </c>
      <c r="G36" s="11">
        <f t="shared" si="0"/>
        <v>216.43433840401855</v>
      </c>
    </row>
    <row r="37" spans="2:7">
      <c r="B37" s="17">
        <f>アイスクリームの売り上げデータ!A37</f>
        <v>43500</v>
      </c>
      <c r="C37" s="11">
        <f>アイスクリームの売り上げデータ!C37</f>
        <v>13.2</v>
      </c>
      <c r="D37" s="11">
        <f>アイスクリームの売り上げデータ!G37</f>
        <v>114</v>
      </c>
      <c r="F37" s="11">
        <v>34</v>
      </c>
      <c r="G37" s="11">
        <f t="shared" si="0"/>
        <v>219.89087075868736</v>
      </c>
    </row>
    <row r="38" spans="2:7">
      <c r="B38" s="17">
        <f>アイスクリームの売り上げデータ!A38</f>
        <v>43501</v>
      </c>
      <c r="C38" s="11">
        <f>アイスクリームの売り上げデータ!C38</f>
        <v>6.7</v>
      </c>
      <c r="D38" s="11">
        <f>アイスクリームの売り上げデータ!G38</f>
        <v>122</v>
      </c>
      <c r="F38" s="11">
        <v>35</v>
      </c>
      <c r="G38" s="11">
        <f t="shared" si="0"/>
        <v>223.34740311335617</v>
      </c>
    </row>
    <row r="39" spans="2:7">
      <c r="B39" s="17">
        <f>アイスクリームの売り上げデータ!A39</f>
        <v>43502</v>
      </c>
      <c r="C39" s="11">
        <f>アイスクリームの売り上げデータ!C39</f>
        <v>5.7</v>
      </c>
      <c r="D39" s="11">
        <f>アイスクリームの売り上げデータ!G39</f>
        <v>119</v>
      </c>
      <c r="F39" s="11">
        <v>36</v>
      </c>
      <c r="G39" s="11">
        <f t="shared" si="0"/>
        <v>226.80393546802497</v>
      </c>
    </row>
    <row r="40" spans="2:7">
      <c r="B40" s="17">
        <f>アイスクリームの売り上げデータ!A40</f>
        <v>43503</v>
      </c>
      <c r="C40" s="11">
        <f>アイスクリームの売り上げデータ!C40</f>
        <v>9.6</v>
      </c>
      <c r="D40" s="11">
        <f>アイスクリームの売り上げデータ!G40</f>
        <v>123</v>
      </c>
      <c r="F40" s="11">
        <v>37</v>
      </c>
      <c r="G40" s="11">
        <f t="shared" si="0"/>
        <v>230.26046782269378</v>
      </c>
    </row>
    <row r="41" spans="2:7">
      <c r="B41" s="17">
        <f>アイスクリームの売り上げデータ!A41</f>
        <v>43504</v>
      </c>
      <c r="C41" s="11">
        <f>アイスクリームの売り上げデータ!C41</f>
        <v>6.1</v>
      </c>
      <c r="D41" s="11">
        <f>アイスクリームの売り上げデータ!G41</f>
        <v>110</v>
      </c>
      <c r="F41" s="11">
        <v>38</v>
      </c>
      <c r="G41" s="11">
        <f t="shared" si="0"/>
        <v>233.71700017736259</v>
      </c>
    </row>
    <row r="42" spans="2:7">
      <c r="B42" s="17">
        <f>アイスクリームの売り上げデータ!A42</f>
        <v>43505</v>
      </c>
      <c r="C42" s="11">
        <f>アイスクリームの売り上げデータ!C42</f>
        <v>0.8</v>
      </c>
      <c r="D42" s="11">
        <f>アイスクリームの売り上げデータ!G42</f>
        <v>125</v>
      </c>
      <c r="F42" s="11">
        <v>39</v>
      </c>
      <c r="G42" s="11">
        <f t="shared" si="0"/>
        <v>237.1735325320314</v>
      </c>
    </row>
    <row r="43" spans="2:7">
      <c r="B43" s="17">
        <f>アイスクリームの売り上げデータ!A43</f>
        <v>43506</v>
      </c>
      <c r="C43" s="11">
        <f>アイスクリームの売り上げデータ!C43</f>
        <v>3.5</v>
      </c>
      <c r="D43" s="11">
        <f>アイスクリームの売り上げデータ!G43</f>
        <v>162</v>
      </c>
      <c r="F43" s="11">
        <v>40</v>
      </c>
      <c r="G43" s="11">
        <f t="shared" si="0"/>
        <v>240.63006488670021</v>
      </c>
    </row>
    <row r="44" spans="2:7">
      <c r="B44" s="17">
        <f>アイスクリームの売り上げデータ!A44</f>
        <v>43507</v>
      </c>
      <c r="C44" s="11">
        <f>アイスクリームの売り上げデータ!C44</f>
        <v>3</v>
      </c>
      <c r="D44" s="11">
        <f>アイスクリームの売り上げデータ!G44</f>
        <v>81</v>
      </c>
      <c r="F44" s="11">
        <v>41</v>
      </c>
      <c r="G44" s="11">
        <f t="shared" si="0"/>
        <v>244.08659724136902</v>
      </c>
    </row>
    <row r="45" spans="2:7">
      <c r="B45" s="17">
        <f>アイスクリームの売り上げデータ!A45</f>
        <v>43508</v>
      </c>
      <c r="C45" s="11">
        <f>アイスクリームの売り上げデータ!C45</f>
        <v>6.2</v>
      </c>
      <c r="D45" s="11">
        <f>アイスクリームの売り上げデータ!G45</f>
        <v>101</v>
      </c>
      <c r="F45" s="11">
        <v>42</v>
      </c>
      <c r="G45" s="11">
        <f t="shared" si="0"/>
        <v>247.54312959603783</v>
      </c>
    </row>
    <row r="46" spans="2:7">
      <c r="B46" s="17">
        <f>アイスクリームの売り上げデータ!A46</f>
        <v>43509</v>
      </c>
      <c r="C46" s="11">
        <f>アイスクリームの売り上げデータ!C46</f>
        <v>5.2</v>
      </c>
      <c r="D46" s="11">
        <f>アイスクリームの売り上げデータ!G46</f>
        <v>124</v>
      </c>
      <c r="F46" s="11">
        <v>43</v>
      </c>
      <c r="G46" s="11">
        <f t="shared" si="0"/>
        <v>250.99966195070664</v>
      </c>
    </row>
    <row r="47" spans="2:7">
      <c r="B47" s="17">
        <f>アイスクリームの売り上げデータ!A47</f>
        <v>43510</v>
      </c>
      <c r="C47" s="11">
        <f>アイスクリームの売り上げデータ!C47</f>
        <v>4.5</v>
      </c>
      <c r="D47" s="11">
        <f>アイスクリームの売り上げデータ!G47</f>
        <v>97</v>
      </c>
      <c r="F47" s="11">
        <v>44</v>
      </c>
      <c r="G47" s="11">
        <f t="shared" si="0"/>
        <v>254.45619430537545</v>
      </c>
    </row>
    <row r="48" spans="2:7">
      <c r="B48" s="17">
        <f>アイスクリームの売り上げデータ!A48</f>
        <v>43511</v>
      </c>
      <c r="C48" s="11">
        <f>アイスクリームの売り上げデータ!C48</f>
        <v>3</v>
      </c>
      <c r="D48" s="11">
        <f>アイスクリームの売り上げデータ!G48</f>
        <v>98</v>
      </c>
      <c r="F48" s="11">
        <v>45</v>
      </c>
      <c r="G48" s="11">
        <f t="shared" si="0"/>
        <v>257.91272666004426</v>
      </c>
    </row>
    <row r="49" spans="2:4">
      <c r="B49" s="17">
        <f>アイスクリームの売り上げデータ!A49</f>
        <v>43512</v>
      </c>
      <c r="C49" s="11">
        <f>アイスクリームの売り上げデータ!C49</f>
        <v>6.8</v>
      </c>
      <c r="D49" s="11">
        <f>アイスクリームの売り上げデータ!G49</f>
        <v>166</v>
      </c>
    </row>
    <row r="50" spans="2:4">
      <c r="B50" s="17">
        <f>アイスクリームの売り上げデータ!A50</f>
        <v>43513</v>
      </c>
      <c r="C50" s="11">
        <f>アイスクリームの売り上げデータ!C50</f>
        <v>6.4</v>
      </c>
      <c r="D50" s="11">
        <f>アイスクリームの売り上げデータ!G50</f>
        <v>186</v>
      </c>
    </row>
    <row r="51" spans="2:4">
      <c r="B51" s="17">
        <f>アイスクリームの売り上げデータ!A51</f>
        <v>43514</v>
      </c>
      <c r="C51" s="11">
        <f>アイスクリームの売り上げデータ!C51</f>
        <v>8.1999999999999993</v>
      </c>
      <c r="D51" s="11">
        <f>アイスクリームの売り上げデータ!G51</f>
        <v>90</v>
      </c>
    </row>
    <row r="52" spans="2:4">
      <c r="B52" s="17">
        <f>アイスクリームの売り上げデータ!A52</f>
        <v>43515</v>
      </c>
      <c r="C52" s="11">
        <f>アイスクリームの売り上げデータ!C52</f>
        <v>9.1</v>
      </c>
      <c r="D52" s="11">
        <f>アイスクリームの売り上げデータ!G52</f>
        <v>127</v>
      </c>
    </row>
    <row r="53" spans="2:4">
      <c r="B53" s="17">
        <f>アイスクリームの売り上げデータ!A53</f>
        <v>43516</v>
      </c>
      <c r="C53" s="11">
        <f>アイスクリームの売り上げデータ!C53</f>
        <v>11.6</v>
      </c>
      <c r="D53" s="11">
        <f>アイスクリームの売り上げデータ!G53</f>
        <v>165</v>
      </c>
    </row>
    <row r="54" spans="2:4">
      <c r="B54" s="17">
        <f>アイスクリームの売り上げデータ!A54</f>
        <v>43517</v>
      </c>
      <c r="C54" s="11">
        <f>アイスクリームの売り上げデータ!C54</f>
        <v>10.3</v>
      </c>
      <c r="D54" s="11">
        <f>アイスクリームの売り上げデータ!G54</f>
        <v>115</v>
      </c>
    </row>
    <row r="55" spans="2:4">
      <c r="B55" s="17">
        <f>アイスクリームの売り上げデータ!A55</f>
        <v>43518</v>
      </c>
      <c r="C55" s="11">
        <f>アイスクリームの売り上げデータ!C55</f>
        <v>9.3000000000000007</v>
      </c>
      <c r="D55" s="11">
        <f>アイスクリームの売り上げデータ!G55</f>
        <v>125</v>
      </c>
    </row>
    <row r="56" spans="2:4">
      <c r="B56" s="17">
        <f>アイスクリームの売り上げデータ!A56</f>
        <v>43519</v>
      </c>
      <c r="C56" s="11">
        <f>アイスクリームの売り上げデータ!C56</f>
        <v>8.9</v>
      </c>
      <c r="D56" s="11">
        <f>アイスクリームの売り上げデータ!G56</f>
        <v>173</v>
      </c>
    </row>
    <row r="57" spans="2:4">
      <c r="B57" s="17">
        <f>アイスクリームの売り上げデータ!A57</f>
        <v>43520</v>
      </c>
      <c r="C57" s="11">
        <f>アイスクリームの売り上げデータ!C57</f>
        <v>8.8000000000000007</v>
      </c>
      <c r="D57" s="11">
        <f>アイスクリームの売り上げデータ!G57</f>
        <v>182</v>
      </c>
    </row>
    <row r="58" spans="2:4">
      <c r="B58" s="17">
        <f>アイスクリームの売り上げデータ!A58</f>
        <v>43521</v>
      </c>
      <c r="C58" s="11">
        <f>アイスクリームの売り上げデータ!C58</f>
        <v>11.3</v>
      </c>
      <c r="D58" s="11">
        <f>アイスクリームの売り上げデータ!G58</f>
        <v>109</v>
      </c>
    </row>
    <row r="59" spans="2:4">
      <c r="B59" s="17">
        <f>アイスクリームの売り上げデータ!A59</f>
        <v>43522</v>
      </c>
      <c r="C59" s="11">
        <f>アイスクリームの売り上げデータ!C59</f>
        <v>10.199999999999999</v>
      </c>
      <c r="D59" s="11">
        <f>アイスクリームの売り上げデータ!G59</f>
        <v>116</v>
      </c>
    </row>
    <row r="60" spans="2:4">
      <c r="B60" s="17">
        <f>アイスクリームの売り上げデータ!A60</f>
        <v>43523</v>
      </c>
      <c r="C60" s="11">
        <f>アイスクリームの売り上げデータ!C60</f>
        <v>7.7</v>
      </c>
      <c r="D60" s="11">
        <f>アイスクリームの売り上げデータ!G60</f>
        <v>143</v>
      </c>
    </row>
    <row r="61" spans="2:4">
      <c r="B61" s="17">
        <f>アイスクリームの売り上げデータ!A61</f>
        <v>43524</v>
      </c>
      <c r="C61" s="11">
        <f>アイスクリームの売り上げデータ!C61</f>
        <v>6.6</v>
      </c>
      <c r="D61" s="11">
        <f>アイスクリームの売り上げデータ!G61</f>
        <v>86</v>
      </c>
    </row>
    <row r="62" spans="2:4">
      <c r="B62" s="17">
        <f>アイスクリームの売り上げデータ!A62</f>
        <v>43525</v>
      </c>
      <c r="C62" s="11">
        <f>アイスクリームの売り上げデータ!C62</f>
        <v>8.8000000000000007</v>
      </c>
      <c r="D62" s="11">
        <f>アイスクリームの売り上げデータ!G62</f>
        <v>110</v>
      </c>
    </row>
    <row r="63" spans="2:4">
      <c r="B63" s="17">
        <f>アイスクリームの売り上げデータ!A63</f>
        <v>43526</v>
      </c>
      <c r="C63" s="11">
        <f>アイスクリームの売り上げデータ!C63</f>
        <v>10.3</v>
      </c>
      <c r="D63" s="11">
        <f>アイスクリームの売り上げデータ!G63</f>
        <v>166</v>
      </c>
    </row>
    <row r="64" spans="2:4">
      <c r="B64" s="17">
        <f>アイスクリームの売り上げデータ!A64</f>
        <v>43527</v>
      </c>
      <c r="C64" s="11">
        <f>アイスクリームの売り上げデータ!C64</f>
        <v>6.5</v>
      </c>
      <c r="D64" s="11">
        <f>アイスクリームの売り上げデータ!G64</f>
        <v>158</v>
      </c>
    </row>
    <row r="65" spans="2:4">
      <c r="B65" s="17">
        <f>アイスクリームの売り上げデータ!A65</f>
        <v>43528</v>
      </c>
      <c r="C65" s="11">
        <f>アイスクリームの売り上げデータ!C65</f>
        <v>7.3</v>
      </c>
      <c r="D65" s="11">
        <f>アイスクリームの売り上げデータ!G65</f>
        <v>58</v>
      </c>
    </row>
    <row r="66" spans="2:4">
      <c r="B66" s="17">
        <f>アイスクリームの売り上げデータ!A66</f>
        <v>43529</v>
      </c>
      <c r="C66" s="11">
        <f>アイスクリームの売り上げデータ!C66</f>
        <v>9.6</v>
      </c>
      <c r="D66" s="11">
        <f>アイスクリームの売り上げデータ!G66</f>
        <v>134</v>
      </c>
    </row>
    <row r="67" spans="2:4">
      <c r="B67" s="17">
        <f>アイスクリームの売り上げデータ!A67</f>
        <v>43530</v>
      </c>
      <c r="C67" s="11">
        <f>アイスクリームの売り上げデータ!C67</f>
        <v>10.8</v>
      </c>
      <c r="D67" s="11">
        <f>アイスクリームの売り上げデータ!G67</f>
        <v>150</v>
      </c>
    </row>
    <row r="68" spans="2:4">
      <c r="B68" s="17">
        <f>アイスクリームの売り上げデータ!A68</f>
        <v>43531</v>
      </c>
      <c r="C68" s="11">
        <f>アイスクリームの売り上げデータ!C68</f>
        <v>8.1999999999999993</v>
      </c>
      <c r="D68" s="11">
        <f>アイスクリームの売り上げデータ!G68</f>
        <v>86</v>
      </c>
    </row>
    <row r="69" spans="2:4">
      <c r="B69" s="17">
        <f>アイスクリームの売り上げデータ!A69</f>
        <v>43532</v>
      </c>
      <c r="C69" s="11">
        <f>アイスクリームの売り上げデータ!C69</f>
        <v>7.3</v>
      </c>
      <c r="D69" s="11">
        <f>アイスクリームの売り上げデータ!G69</f>
        <v>126</v>
      </c>
    </row>
    <row r="70" spans="2:4">
      <c r="B70" s="17">
        <f>アイスクリームの売り上げデータ!A70</f>
        <v>43533</v>
      </c>
      <c r="C70" s="11">
        <f>アイスクリームの売り上げデータ!C70</f>
        <v>10</v>
      </c>
      <c r="D70" s="11">
        <f>アイスクリームの売り上げデータ!G70</f>
        <v>154</v>
      </c>
    </row>
    <row r="71" spans="2:4">
      <c r="B71" s="17">
        <f>アイスクリームの売り上げデータ!A71</f>
        <v>43534</v>
      </c>
      <c r="C71" s="11">
        <f>アイスクリームの売り上げデータ!C71</f>
        <v>12.5</v>
      </c>
      <c r="D71" s="11">
        <f>アイスクリームの売り上げデータ!G71</f>
        <v>207</v>
      </c>
    </row>
    <row r="72" spans="2:4">
      <c r="B72" s="17">
        <f>アイスクリームの売り上げデータ!A72</f>
        <v>43535</v>
      </c>
      <c r="C72" s="11">
        <f>アイスクリームの売り上げデータ!C72</f>
        <v>12.3</v>
      </c>
      <c r="D72" s="11">
        <f>アイスクリームの売り上げデータ!G72</f>
        <v>79</v>
      </c>
    </row>
    <row r="73" spans="2:4">
      <c r="B73" s="17">
        <f>アイスクリームの売り上げデータ!A73</f>
        <v>43536</v>
      </c>
      <c r="C73" s="11">
        <f>アイスクリームの売り上げデータ!C73</f>
        <v>12.4</v>
      </c>
      <c r="D73" s="11">
        <f>アイスクリームの売り上げデータ!G73</f>
        <v>132</v>
      </c>
    </row>
    <row r="74" spans="2:4">
      <c r="B74" s="17">
        <f>アイスクリームの売り上げデータ!A74</f>
        <v>43537</v>
      </c>
      <c r="C74" s="11">
        <f>アイスクリームの売り上げデータ!C74</f>
        <v>11.7</v>
      </c>
      <c r="D74" s="11">
        <f>アイスクリームの売り上げデータ!G74</f>
        <v>140</v>
      </c>
    </row>
    <row r="75" spans="2:4">
      <c r="B75" s="17">
        <f>アイスクリームの売り上げデータ!A75</f>
        <v>43538</v>
      </c>
      <c r="C75" s="11">
        <f>アイスクリームの売り上げデータ!C75</f>
        <v>8.4</v>
      </c>
      <c r="D75" s="11">
        <f>アイスクリームの売り上げデータ!G75</f>
        <v>109</v>
      </c>
    </row>
    <row r="76" spans="2:4">
      <c r="B76" s="17">
        <f>アイスクリームの売り上げデータ!A76</f>
        <v>43539</v>
      </c>
      <c r="C76" s="11">
        <f>アイスクリームの売り上げデータ!C76</f>
        <v>9.6999999999999993</v>
      </c>
      <c r="D76" s="11">
        <f>アイスクリームの売り上げデータ!G76</f>
        <v>120</v>
      </c>
    </row>
    <row r="77" spans="2:4">
      <c r="B77" s="17">
        <f>アイスクリームの売り上げデータ!A77</f>
        <v>43540</v>
      </c>
      <c r="C77" s="11">
        <f>アイスクリームの売り上げデータ!C77</f>
        <v>8.9</v>
      </c>
      <c r="D77" s="11">
        <f>アイスクリームの売り上げデータ!G77</f>
        <v>164</v>
      </c>
    </row>
    <row r="78" spans="2:4">
      <c r="B78" s="17">
        <f>アイスクリームの売り上げデータ!A78</f>
        <v>43541</v>
      </c>
      <c r="C78" s="11">
        <f>アイスクリームの売り上げデータ!C78</f>
        <v>9.1</v>
      </c>
      <c r="D78" s="11">
        <f>アイスクリームの売り上げデータ!G78</f>
        <v>222</v>
      </c>
    </row>
    <row r="79" spans="2:4">
      <c r="B79" s="17">
        <f>アイスクリームの売り上げデータ!A79</f>
        <v>43542</v>
      </c>
      <c r="C79" s="11">
        <f>アイスクリームの売り上げデータ!C79</f>
        <v>9.6999999999999993</v>
      </c>
      <c r="D79" s="11">
        <f>アイスクリームの売り上げデータ!G79</f>
        <v>100</v>
      </c>
    </row>
    <row r="80" spans="2:4">
      <c r="B80" s="17">
        <f>アイスクリームの売り上げデータ!A80</f>
        <v>43543</v>
      </c>
      <c r="C80" s="11">
        <f>アイスクリームの売り上げデータ!C80</f>
        <v>13.2</v>
      </c>
      <c r="D80" s="11">
        <f>アイスクリームの売り上げデータ!G80</f>
        <v>134</v>
      </c>
    </row>
    <row r="81" spans="2:4">
      <c r="B81" s="17">
        <f>アイスクリームの売り上げデータ!A81</f>
        <v>43544</v>
      </c>
      <c r="C81" s="11">
        <f>アイスクリームの売り上げデータ!C81</f>
        <v>15</v>
      </c>
      <c r="D81" s="11">
        <f>アイスクリームの売り上げデータ!G81</f>
        <v>158</v>
      </c>
    </row>
    <row r="82" spans="2:4">
      <c r="B82" s="17">
        <f>アイスクリームの売り上げデータ!A82</f>
        <v>43545</v>
      </c>
      <c r="C82" s="11">
        <f>アイスクリームの売り上げデータ!C82</f>
        <v>17.7</v>
      </c>
      <c r="D82" s="11">
        <f>アイスクリームの売り上げデータ!G82</f>
        <v>140</v>
      </c>
    </row>
    <row r="83" spans="2:4">
      <c r="B83" s="17">
        <f>アイスクリームの売り上げデータ!A83</f>
        <v>43546</v>
      </c>
      <c r="C83" s="11">
        <f>アイスクリームの売り上げデータ!C83</f>
        <v>16.2</v>
      </c>
      <c r="D83" s="11">
        <f>アイスクリームの売り上げデータ!G83</f>
        <v>136</v>
      </c>
    </row>
    <row r="84" spans="2:4">
      <c r="B84" s="17">
        <f>アイスクリームの売り上げデータ!A84</f>
        <v>43547</v>
      </c>
      <c r="C84" s="11">
        <f>アイスクリームの売り上げデータ!C84</f>
        <v>7.1</v>
      </c>
      <c r="D84" s="11">
        <f>アイスクリームの売り上げデータ!G84</f>
        <v>156</v>
      </c>
    </row>
    <row r="85" spans="2:4">
      <c r="B85" s="17">
        <f>アイスクリームの売り上げデータ!A85</f>
        <v>43548</v>
      </c>
      <c r="C85" s="11">
        <f>アイスクリームの売り上げデータ!C85</f>
        <v>8.1999999999999993</v>
      </c>
      <c r="D85" s="11">
        <f>アイスクリームの売り上げデータ!G85</f>
        <v>218</v>
      </c>
    </row>
    <row r="86" spans="2:4">
      <c r="B86" s="17">
        <f>アイスクリームの売り上げデータ!A86</f>
        <v>43549</v>
      </c>
      <c r="C86" s="11">
        <f>アイスクリームの売り上げデータ!C86</f>
        <v>9.9</v>
      </c>
      <c r="D86" s="11">
        <f>アイスクリームの売り上げデータ!G86</f>
        <v>91</v>
      </c>
    </row>
    <row r="87" spans="2:4">
      <c r="B87" s="17">
        <f>アイスクリームの売り上げデータ!A87</f>
        <v>43550</v>
      </c>
      <c r="C87" s="11">
        <f>アイスクリームの売り上げデータ!C87</f>
        <v>11.9</v>
      </c>
      <c r="D87" s="11">
        <f>アイスクリームの売り上げデータ!G87</f>
        <v>126</v>
      </c>
    </row>
    <row r="88" spans="2:4">
      <c r="B88" s="17">
        <f>アイスクリームの売り上げデータ!A88</f>
        <v>43551</v>
      </c>
      <c r="C88" s="11">
        <f>アイスクリームの売り上げデータ!C88</f>
        <v>14.2</v>
      </c>
      <c r="D88" s="11">
        <f>アイスクリームの売り上げデータ!G88</f>
        <v>162</v>
      </c>
    </row>
    <row r="89" spans="2:4">
      <c r="B89" s="17">
        <f>アイスクリームの売り上げデータ!A89</f>
        <v>43552</v>
      </c>
      <c r="C89" s="11">
        <f>アイスクリームの売り上げデータ!C89</f>
        <v>13.6</v>
      </c>
      <c r="D89" s="11">
        <f>アイスクリームの売り上げデータ!G89</f>
        <v>137</v>
      </c>
    </row>
    <row r="90" spans="2:4">
      <c r="B90" s="17">
        <f>アイスクリームの売り上げデータ!A90</f>
        <v>43553</v>
      </c>
      <c r="C90" s="11">
        <f>アイスクリームの売り上げデータ!C90</f>
        <v>7.7</v>
      </c>
      <c r="D90" s="11">
        <f>アイスクリームの売り上げデータ!G90</f>
        <v>105</v>
      </c>
    </row>
    <row r="91" spans="2:4">
      <c r="B91" s="17">
        <f>アイスクリームの売り上げデータ!A91</f>
        <v>43554</v>
      </c>
      <c r="C91" s="11">
        <f>アイスクリームの売り上げデータ!C91</f>
        <v>8.6999999999999993</v>
      </c>
      <c r="D91" s="11">
        <f>アイスクリームの売り上げデータ!G91</f>
        <v>171</v>
      </c>
    </row>
    <row r="92" spans="2:4">
      <c r="B92" s="17">
        <f>アイスクリームの売り上げデータ!A92</f>
        <v>43555</v>
      </c>
      <c r="C92" s="11">
        <f>アイスクリームの売り上げデータ!C92</f>
        <v>10.5</v>
      </c>
      <c r="D92" s="11">
        <f>アイスクリームの売り上げデータ!G92</f>
        <v>220</v>
      </c>
    </row>
    <row r="93" spans="2:4">
      <c r="B93" s="17">
        <f>アイスクリームの売り上げデータ!A93</f>
        <v>43556</v>
      </c>
      <c r="C93" s="11">
        <f>アイスクリームの売り上げデータ!C93</f>
        <v>8.8000000000000007</v>
      </c>
      <c r="D93" s="11">
        <f>アイスクリームの売り上げデータ!G93</f>
        <v>89</v>
      </c>
    </row>
    <row r="94" spans="2:4">
      <c r="B94" s="17">
        <f>アイスクリームの売り上げデータ!A94</f>
        <v>43557</v>
      </c>
      <c r="C94" s="11">
        <f>アイスクリームの売り上げデータ!C94</f>
        <v>7.2</v>
      </c>
      <c r="D94" s="11">
        <f>アイスクリームの売り上げデータ!G94</f>
        <v>126</v>
      </c>
    </row>
    <row r="95" spans="2:4">
      <c r="B95" s="17">
        <f>アイスクリームの売り上げデータ!A95</f>
        <v>43558</v>
      </c>
      <c r="C95" s="11">
        <f>アイスクリームの売り上げデータ!C95</f>
        <v>8.1</v>
      </c>
      <c r="D95" s="11">
        <f>アイスクリームの売り上げデータ!G95</f>
        <v>149</v>
      </c>
    </row>
    <row r="96" spans="2:4">
      <c r="B96" s="17">
        <f>アイスクリームの売り上げデータ!A96</f>
        <v>43559</v>
      </c>
      <c r="C96" s="11">
        <f>アイスクリームの売り上げデータ!C96</f>
        <v>10.6</v>
      </c>
      <c r="D96" s="11">
        <f>アイスクリームの売り上げデータ!G96</f>
        <v>127</v>
      </c>
    </row>
    <row r="97" spans="2:4">
      <c r="B97" s="17">
        <f>アイスクリームの売り上げデータ!A97</f>
        <v>43560</v>
      </c>
      <c r="C97" s="11">
        <f>アイスクリームの売り上げデータ!C97</f>
        <v>15.4</v>
      </c>
      <c r="D97" s="11">
        <f>アイスクリームの売り上げデータ!G97</f>
        <v>130</v>
      </c>
    </row>
    <row r="98" spans="2:4">
      <c r="B98" s="17">
        <f>アイスクリームの売り上げデータ!A98</f>
        <v>43561</v>
      </c>
      <c r="C98" s="11">
        <f>アイスクリームの売り上げデータ!C98</f>
        <v>15.9</v>
      </c>
      <c r="D98" s="11">
        <f>アイスクリームの売り上げデータ!G98</f>
        <v>173</v>
      </c>
    </row>
    <row r="99" spans="2:4">
      <c r="B99" s="17">
        <f>アイスクリームの売り上げデータ!A99</f>
        <v>43562</v>
      </c>
      <c r="C99" s="11">
        <f>アイスクリームの売り上げデータ!C99</f>
        <v>15.5</v>
      </c>
      <c r="D99" s="11">
        <f>アイスクリームの売り上げデータ!G99</f>
        <v>245</v>
      </c>
    </row>
    <row r="100" spans="2:4">
      <c r="B100" s="17">
        <f>アイスクリームの売り上げデータ!A100</f>
        <v>43563</v>
      </c>
      <c r="C100" s="11">
        <f>アイスクリームの売り上げデータ!C100</f>
        <v>9.3000000000000007</v>
      </c>
      <c r="D100" s="11">
        <f>アイスクリームの売り上げデータ!G100</f>
        <v>96</v>
      </c>
    </row>
    <row r="101" spans="2:4">
      <c r="B101" s="17">
        <f>アイスクリームの売り上げデータ!A101</f>
        <v>43564</v>
      </c>
      <c r="C101" s="11">
        <f>アイスクリームの売り上げデータ!C101</f>
        <v>10.3</v>
      </c>
      <c r="D101" s="11">
        <f>アイスクリームの売り上げデータ!G101</f>
        <v>117</v>
      </c>
    </row>
    <row r="102" spans="2:4">
      <c r="B102" s="17">
        <f>アイスクリームの売り上げデータ!A102</f>
        <v>43565</v>
      </c>
      <c r="C102" s="11">
        <f>アイスクリームの売り上げデータ!C102</f>
        <v>5.7</v>
      </c>
      <c r="D102" s="11">
        <f>アイスクリームの売り上げデータ!G102</f>
        <v>100</v>
      </c>
    </row>
    <row r="103" spans="2:4">
      <c r="B103" s="17">
        <f>アイスクリームの売り上げデータ!A103</f>
        <v>43566</v>
      </c>
      <c r="C103" s="11">
        <f>アイスクリームの売り上げデータ!C103</f>
        <v>10.4</v>
      </c>
      <c r="D103" s="11">
        <f>アイスクリームの売り上げデータ!G103</f>
        <v>121</v>
      </c>
    </row>
    <row r="104" spans="2:4">
      <c r="B104" s="17">
        <f>アイスクリームの売り上げデータ!A104</f>
        <v>43567</v>
      </c>
      <c r="C104" s="11">
        <f>アイスクリームの売り上げデータ!C104</f>
        <v>9.6</v>
      </c>
      <c r="D104" s="11">
        <f>アイスクリームの売り上げデータ!G104</f>
        <v>119</v>
      </c>
    </row>
    <row r="105" spans="2:4">
      <c r="B105" s="17">
        <f>アイスクリームの売り上げデータ!A105</f>
        <v>43568</v>
      </c>
      <c r="C105" s="11">
        <f>アイスクリームの売り上げデータ!C105</f>
        <v>12.1</v>
      </c>
      <c r="D105" s="11">
        <f>アイスクリームの売り上げデータ!G105</f>
        <v>193</v>
      </c>
    </row>
    <row r="106" spans="2:4">
      <c r="B106" s="17">
        <f>アイスクリームの売り上げデータ!A106</f>
        <v>43569</v>
      </c>
      <c r="C106" s="11">
        <f>アイスクリームの売り上げデータ!C106</f>
        <v>14.7</v>
      </c>
      <c r="D106" s="11">
        <f>アイスクリームの売り上げデータ!G106</f>
        <v>202</v>
      </c>
    </row>
    <row r="107" spans="2:4">
      <c r="B107" s="17">
        <f>アイスクリームの売り上げデータ!A107</f>
        <v>43570</v>
      </c>
      <c r="C107" s="11">
        <f>アイスクリームの売り上げデータ!C107</f>
        <v>16</v>
      </c>
      <c r="D107" s="11">
        <f>アイスクリームの売り上げデータ!G107</f>
        <v>114</v>
      </c>
    </row>
    <row r="108" spans="2:4">
      <c r="B108" s="17">
        <f>アイスクリームの売り上げデータ!A108</f>
        <v>43571</v>
      </c>
      <c r="C108" s="11">
        <f>アイスクリームの売り上げデータ!C108</f>
        <v>15.3</v>
      </c>
      <c r="D108" s="11">
        <f>アイスクリームの売り上げデータ!G108</f>
        <v>146</v>
      </c>
    </row>
    <row r="109" spans="2:4">
      <c r="B109" s="17">
        <f>アイスクリームの売り上げデータ!A109</f>
        <v>43572</v>
      </c>
      <c r="C109" s="11">
        <f>アイスクリームの売り上げデータ!C109</f>
        <v>15.5</v>
      </c>
      <c r="D109" s="11">
        <f>アイスクリームの売り上げデータ!G109</f>
        <v>165</v>
      </c>
    </row>
    <row r="110" spans="2:4">
      <c r="B110" s="17">
        <f>アイスクリームの売り上げデータ!A110</f>
        <v>43573</v>
      </c>
      <c r="C110" s="11">
        <f>アイスクリームの売り上げデータ!C110</f>
        <v>17.5</v>
      </c>
      <c r="D110" s="11">
        <f>アイスクリームの売り上げデータ!G110</f>
        <v>141</v>
      </c>
    </row>
    <row r="111" spans="2:4">
      <c r="B111" s="17">
        <f>アイスクリームの売り上げデータ!A111</f>
        <v>43574</v>
      </c>
      <c r="C111" s="11">
        <f>アイスクリームの売り上げデータ!C111</f>
        <v>18.3</v>
      </c>
      <c r="D111" s="11">
        <f>アイスクリームの売り上げデータ!G111</f>
        <v>161</v>
      </c>
    </row>
    <row r="112" spans="2:4">
      <c r="B112" s="17">
        <f>アイスクリームの売り上げデータ!A112</f>
        <v>43575</v>
      </c>
      <c r="C112" s="11">
        <f>アイスクリームの売り上げデータ!C112</f>
        <v>14.2</v>
      </c>
      <c r="D112" s="11">
        <f>アイスクリームの売り上げデータ!G112</f>
        <v>202</v>
      </c>
    </row>
    <row r="113" spans="2:4">
      <c r="B113" s="17">
        <f>アイスクリームの売り上げデータ!A113</f>
        <v>43576</v>
      </c>
      <c r="C113" s="11">
        <f>アイスクリームの売り上げデータ!C113</f>
        <v>17.5</v>
      </c>
      <c r="D113" s="11">
        <f>アイスクリームの売り上げデータ!G113</f>
        <v>235</v>
      </c>
    </row>
    <row r="114" spans="2:4">
      <c r="B114" s="17">
        <f>アイスクリームの売り上げデータ!A114</f>
        <v>43577</v>
      </c>
      <c r="C114" s="11">
        <f>アイスクリームの売り上げデータ!C114</f>
        <v>19.2</v>
      </c>
      <c r="D114" s="11">
        <f>アイスクリームの売り上げデータ!G114</f>
        <v>131</v>
      </c>
    </row>
    <row r="115" spans="2:4">
      <c r="B115" s="17">
        <f>アイスクリームの売り上げデータ!A115</f>
        <v>43578</v>
      </c>
      <c r="C115" s="11">
        <f>アイスクリームの売り上げデータ!C115</f>
        <v>18.7</v>
      </c>
      <c r="D115" s="11">
        <f>アイスクリームの売り上げデータ!G115</f>
        <v>162</v>
      </c>
    </row>
    <row r="116" spans="2:4">
      <c r="B116" s="17">
        <f>アイスクリームの売り上げデータ!A116</f>
        <v>43579</v>
      </c>
      <c r="C116" s="11">
        <f>アイスクリームの売り上げデータ!C116</f>
        <v>19.100000000000001</v>
      </c>
      <c r="D116" s="11">
        <f>アイスクリームの売り上げデータ!G116</f>
        <v>177</v>
      </c>
    </row>
    <row r="117" spans="2:4">
      <c r="B117" s="17">
        <f>アイスクリームの売り上げデータ!A117</f>
        <v>43580</v>
      </c>
      <c r="C117" s="11">
        <f>アイスクリームの売り上げデータ!C117</f>
        <v>20.3</v>
      </c>
      <c r="D117" s="11">
        <f>アイスクリームの売り上げデータ!G117</f>
        <v>155</v>
      </c>
    </row>
    <row r="118" spans="2:4">
      <c r="B118" s="17">
        <f>アイスクリームの売り上げデータ!A118</f>
        <v>43581</v>
      </c>
      <c r="C118" s="11">
        <f>アイスクリームの売り上げデータ!C118</f>
        <v>11.6</v>
      </c>
      <c r="D118" s="11">
        <f>アイスクリームの売り上げデータ!G118</f>
        <v>131</v>
      </c>
    </row>
    <row r="119" spans="2:4">
      <c r="B119" s="17">
        <f>アイスクリームの売り上げデータ!A119</f>
        <v>43582</v>
      </c>
      <c r="C119" s="11">
        <f>アイスクリームの売り上げデータ!C119</f>
        <v>10.199999999999999</v>
      </c>
      <c r="D119" s="11">
        <f>アイスクリームの売り上げデータ!G119</f>
        <v>157</v>
      </c>
    </row>
    <row r="120" spans="2:4">
      <c r="B120" s="17">
        <f>アイスクリームの売り上げデータ!A120</f>
        <v>43583</v>
      </c>
      <c r="C120" s="11">
        <f>アイスクリームの売り上げデータ!C120</f>
        <v>12.6</v>
      </c>
      <c r="D120" s="11">
        <f>アイスクリームの売り上げデータ!G120</f>
        <v>224</v>
      </c>
    </row>
    <row r="121" spans="2:4">
      <c r="B121" s="17">
        <f>アイスクリームの売り上げデータ!A121</f>
        <v>43584</v>
      </c>
      <c r="C121" s="11">
        <f>アイスクリームの売り上げデータ!C121</f>
        <v>14.8</v>
      </c>
      <c r="D121" s="11">
        <f>アイスクリームの売り上げデータ!G121</f>
        <v>126</v>
      </c>
    </row>
    <row r="122" spans="2:4">
      <c r="B122" s="17">
        <f>アイスクリームの売り上げデータ!A122</f>
        <v>43585</v>
      </c>
      <c r="C122" s="11">
        <f>アイスクリームの売り上げデータ!C122</f>
        <v>14.8</v>
      </c>
      <c r="D122" s="11">
        <f>アイスクリームの売り上げデータ!G122</f>
        <v>123</v>
      </c>
    </row>
    <row r="123" spans="2:4">
      <c r="B123" s="17">
        <f>アイスクリームの売り上げデータ!A123</f>
        <v>43586</v>
      </c>
      <c r="C123" s="11">
        <f>アイスクリームの売り上げデータ!C123</f>
        <v>17.399999999999999</v>
      </c>
      <c r="D123" s="11">
        <f>アイスクリームの売り上げデータ!G123</f>
        <v>147</v>
      </c>
    </row>
    <row r="124" spans="2:4">
      <c r="B124" s="17">
        <f>アイスクリームの売り上げデータ!A124</f>
        <v>43587</v>
      </c>
      <c r="C124" s="11">
        <f>アイスクリームの売り上げデータ!C124</f>
        <v>17.3</v>
      </c>
      <c r="D124" s="11">
        <f>アイスクリームの売り上げデータ!G124</f>
        <v>157</v>
      </c>
    </row>
    <row r="125" spans="2:4">
      <c r="B125" s="17">
        <f>アイスクリームの売り上げデータ!A125</f>
        <v>43588</v>
      </c>
      <c r="C125" s="11">
        <f>アイスクリームの売り上げデータ!C125</f>
        <v>18.5</v>
      </c>
      <c r="D125" s="11">
        <f>アイスクリームの売り上げデータ!G125</f>
        <v>148</v>
      </c>
    </row>
    <row r="126" spans="2:4">
      <c r="B126" s="17">
        <f>アイスクリームの売り上げデータ!A126</f>
        <v>43589</v>
      </c>
      <c r="C126" s="11">
        <f>アイスクリームの売り上げデータ!C126</f>
        <v>18.399999999999999</v>
      </c>
      <c r="D126" s="11">
        <f>アイスクリームの売り上げデータ!G126</f>
        <v>216</v>
      </c>
    </row>
    <row r="127" spans="2:4">
      <c r="B127" s="17">
        <f>アイスクリームの売り上げデータ!A127</f>
        <v>43590</v>
      </c>
      <c r="C127" s="11">
        <f>アイスクリームの売り上げデータ!C127</f>
        <v>18.899999999999999</v>
      </c>
      <c r="D127" s="11">
        <f>アイスクリームの売り上げデータ!G127</f>
        <v>218</v>
      </c>
    </row>
    <row r="128" spans="2:4">
      <c r="B128" s="17">
        <f>アイスクリームの売り上げデータ!A128</f>
        <v>43591</v>
      </c>
      <c r="C128" s="11">
        <f>アイスクリームの売り上げデータ!C128</f>
        <v>18.8</v>
      </c>
      <c r="D128" s="11">
        <f>アイスクリームの売り上げデータ!G128</f>
        <v>124</v>
      </c>
    </row>
    <row r="129" spans="2:4">
      <c r="B129" s="17">
        <f>アイスクリームの売り上げデータ!A129</f>
        <v>43592</v>
      </c>
      <c r="C129" s="11">
        <f>アイスクリームの売り上げデータ!C129</f>
        <v>15.3</v>
      </c>
      <c r="D129" s="11">
        <f>アイスクリームの売り上げデータ!G129</f>
        <v>135</v>
      </c>
    </row>
    <row r="130" spans="2:4">
      <c r="B130" s="17">
        <f>アイスクリームの売り上げデータ!A130</f>
        <v>43593</v>
      </c>
      <c r="C130" s="11">
        <f>アイスクリームの売り上げデータ!C130</f>
        <v>16.5</v>
      </c>
      <c r="D130" s="11">
        <f>アイスクリームの売り上げデータ!G130</f>
        <v>178</v>
      </c>
    </row>
    <row r="131" spans="2:4">
      <c r="B131" s="17">
        <f>アイスクリームの売り上げデータ!A131</f>
        <v>43594</v>
      </c>
      <c r="C131" s="11">
        <f>アイスクリームの売り上げデータ!C131</f>
        <v>18.600000000000001</v>
      </c>
      <c r="D131" s="11">
        <f>アイスクリームの売り上げデータ!G131</f>
        <v>163</v>
      </c>
    </row>
    <row r="132" spans="2:4">
      <c r="B132" s="17">
        <f>アイスクリームの売り上げデータ!A132</f>
        <v>43595</v>
      </c>
      <c r="C132" s="11">
        <f>アイスクリームの売り上げデータ!C132</f>
        <v>20.6</v>
      </c>
      <c r="D132" s="11">
        <f>アイスクリームの売り上げデータ!G132</f>
        <v>155</v>
      </c>
    </row>
    <row r="133" spans="2:4">
      <c r="B133" s="17">
        <f>アイスクリームの売り上げデータ!A133</f>
        <v>43596</v>
      </c>
      <c r="C133" s="11">
        <f>アイスクリームの売り上げデータ!C133</f>
        <v>20.9</v>
      </c>
      <c r="D133" s="11">
        <f>アイスクリームの売り上げデータ!G133</f>
        <v>217</v>
      </c>
    </row>
    <row r="134" spans="2:4">
      <c r="B134" s="17">
        <f>アイスクリームの売り上げデータ!A134</f>
        <v>43597</v>
      </c>
      <c r="C134" s="11">
        <f>アイスクリームの売り上げデータ!C134</f>
        <v>17.600000000000001</v>
      </c>
      <c r="D134" s="11">
        <f>アイスクリームの売り上げデータ!G134</f>
        <v>236</v>
      </c>
    </row>
    <row r="135" spans="2:4">
      <c r="B135" s="17">
        <f>アイスクリームの売り上げデータ!A135</f>
        <v>43598</v>
      </c>
      <c r="C135" s="11">
        <f>アイスクリームの売り上げデータ!C135</f>
        <v>17.7</v>
      </c>
      <c r="D135" s="11">
        <f>アイスクリームの売り上げデータ!G135</f>
        <v>127</v>
      </c>
    </row>
    <row r="136" spans="2:4">
      <c r="B136" s="17">
        <f>アイスクリームの売り上げデータ!A136</f>
        <v>43599</v>
      </c>
      <c r="C136" s="11">
        <f>アイスクリームの売り上げデータ!C136</f>
        <v>17.899999999999999</v>
      </c>
      <c r="D136" s="11">
        <f>アイスクリームの売り上げデータ!G136</f>
        <v>139</v>
      </c>
    </row>
    <row r="137" spans="2:4">
      <c r="B137" s="17">
        <f>アイスクリームの売り上げデータ!A137</f>
        <v>43600</v>
      </c>
      <c r="C137" s="11">
        <f>アイスクリームの売り上げデータ!C137</f>
        <v>18.7</v>
      </c>
      <c r="D137" s="11">
        <f>アイスクリームの売り上げデータ!G137</f>
        <v>181</v>
      </c>
    </row>
    <row r="138" spans="2:4">
      <c r="B138" s="17">
        <f>アイスクリームの売り上げデータ!A138</f>
        <v>43601</v>
      </c>
      <c r="C138" s="11">
        <f>アイスクリームの売り上げデータ!C138</f>
        <v>20</v>
      </c>
      <c r="D138" s="11">
        <f>アイスクリームの売り上げデータ!G138</f>
        <v>159</v>
      </c>
    </row>
    <row r="139" spans="2:4">
      <c r="B139" s="17">
        <f>アイスクリームの売り上げデータ!A139</f>
        <v>43602</v>
      </c>
      <c r="C139" s="11">
        <f>アイスクリームの売り上げデータ!C139</f>
        <v>20</v>
      </c>
      <c r="D139" s="11">
        <f>アイスクリームの売り上げデータ!G139</f>
        <v>162</v>
      </c>
    </row>
    <row r="140" spans="2:4">
      <c r="B140" s="17">
        <f>アイスクリームの売り上げデータ!A140</f>
        <v>43603</v>
      </c>
      <c r="C140" s="11">
        <f>アイスクリームの売り上げデータ!C140</f>
        <v>20.3</v>
      </c>
      <c r="D140" s="11">
        <f>アイスクリームの売り上げデータ!G140</f>
        <v>194</v>
      </c>
    </row>
    <row r="141" spans="2:4">
      <c r="B141" s="17">
        <f>アイスクリームの売り上げデータ!A141</f>
        <v>43604</v>
      </c>
      <c r="C141" s="11">
        <f>アイスクリームの売り上げデータ!C141</f>
        <v>20.5</v>
      </c>
      <c r="D141" s="11">
        <f>アイスクリームの売り上げデータ!G141</f>
        <v>240</v>
      </c>
    </row>
    <row r="142" spans="2:4">
      <c r="B142" s="17">
        <f>アイスクリームの売り上げデータ!A142</f>
        <v>43605</v>
      </c>
      <c r="C142" s="11">
        <f>アイスクリームの売り上げデータ!C142</f>
        <v>20.5</v>
      </c>
      <c r="D142" s="11">
        <f>アイスクリームの売り上げデータ!G142</f>
        <v>134</v>
      </c>
    </row>
    <row r="143" spans="2:4">
      <c r="B143" s="17">
        <f>アイスクリームの売り上げデータ!A143</f>
        <v>43606</v>
      </c>
      <c r="C143" s="11">
        <f>アイスクリームの売り上げデータ!C143</f>
        <v>19.399999999999999</v>
      </c>
      <c r="D143" s="11">
        <f>アイスクリームの売り上げデータ!G143</f>
        <v>69</v>
      </c>
    </row>
    <row r="144" spans="2:4">
      <c r="B144" s="17">
        <f>アイスクリームの売り上げデータ!A144</f>
        <v>43607</v>
      </c>
      <c r="C144" s="11">
        <f>アイスクリームの売り上げデータ!C144</f>
        <v>19.399999999999999</v>
      </c>
      <c r="D144" s="11">
        <f>アイスクリームの売り上げデータ!G144</f>
        <v>183</v>
      </c>
    </row>
    <row r="145" spans="2:4">
      <c r="B145" s="17">
        <f>アイスクリームの売り上げデータ!A145</f>
        <v>43608</v>
      </c>
      <c r="C145" s="11">
        <f>アイスクリームの売り上げデータ!C145</f>
        <v>21.3</v>
      </c>
      <c r="D145" s="11">
        <f>アイスクリームの売り上げデータ!G145</f>
        <v>151</v>
      </c>
    </row>
    <row r="146" spans="2:4">
      <c r="B146" s="17">
        <f>アイスクリームの売り上げデータ!A146</f>
        <v>43609</v>
      </c>
      <c r="C146" s="11">
        <f>アイスクリームの売り上げデータ!C146</f>
        <v>23.1</v>
      </c>
      <c r="D146" s="11">
        <f>アイスクリームの売り上げデータ!G146</f>
        <v>172</v>
      </c>
    </row>
    <row r="147" spans="2:4">
      <c r="B147" s="17">
        <f>アイスクリームの売り上げデータ!A147</f>
        <v>43610</v>
      </c>
      <c r="C147" s="11">
        <f>アイスクリームの売り上げデータ!C147</f>
        <v>24.4</v>
      </c>
      <c r="D147" s="11">
        <f>アイスクリームの売り上げデータ!G147</f>
        <v>231</v>
      </c>
    </row>
    <row r="148" spans="2:4">
      <c r="B148" s="17">
        <f>アイスクリームの売り上げデータ!A148</f>
        <v>43611</v>
      </c>
      <c r="C148" s="11">
        <f>アイスクリームの売り上げデータ!C148</f>
        <v>25.2</v>
      </c>
      <c r="D148" s="11">
        <f>アイスクリームの売り上げデータ!G148</f>
        <v>248</v>
      </c>
    </row>
    <row r="149" spans="2:4">
      <c r="B149" s="17">
        <f>アイスクリームの売り上げデータ!A149</f>
        <v>43612</v>
      </c>
      <c r="C149" s="11">
        <f>アイスクリームの売り上げデータ!C149</f>
        <v>26.1</v>
      </c>
      <c r="D149" s="11">
        <f>アイスクリームの売り上げデータ!G149</f>
        <v>149</v>
      </c>
    </row>
    <row r="150" spans="2:4">
      <c r="B150" s="17">
        <f>アイスクリームの売り上げデータ!A150</f>
        <v>43613</v>
      </c>
      <c r="C150" s="11">
        <f>アイスクリームの売り上げデータ!C150</f>
        <v>23.5</v>
      </c>
      <c r="D150" s="11">
        <f>アイスクリームの売り上げデータ!G150</f>
        <v>168</v>
      </c>
    </row>
    <row r="151" spans="2:4">
      <c r="B151" s="17">
        <f>アイスクリームの売り上げデータ!A151</f>
        <v>43614</v>
      </c>
      <c r="C151" s="11">
        <f>アイスクリームの売り上げデータ!C151</f>
        <v>20.2</v>
      </c>
      <c r="D151" s="11">
        <f>アイスクリームの売り上げデータ!G151</f>
        <v>174</v>
      </c>
    </row>
    <row r="152" spans="2:4">
      <c r="B152" s="17">
        <f>アイスクリームの売り上げデータ!A152</f>
        <v>43615</v>
      </c>
      <c r="C152" s="11">
        <f>アイスクリームの売り上げデータ!C152</f>
        <v>21.2</v>
      </c>
      <c r="D152" s="11">
        <f>アイスクリームの売り上げデータ!G152</f>
        <v>164</v>
      </c>
    </row>
    <row r="153" spans="2:4">
      <c r="B153" s="17">
        <f>アイスクリームの売り上げデータ!A153</f>
        <v>43616</v>
      </c>
      <c r="C153" s="11">
        <f>アイスクリームの売り上げデータ!C153</f>
        <v>21.6</v>
      </c>
      <c r="D153" s="11">
        <f>アイスクリームの売り上げデータ!G153</f>
        <v>175</v>
      </c>
    </row>
    <row r="154" spans="2:4">
      <c r="B154" s="17">
        <f>アイスクリームの売り上げデータ!A154</f>
        <v>43617</v>
      </c>
      <c r="C154" s="11">
        <f>アイスクリームの売り上げデータ!C154</f>
        <v>21.8</v>
      </c>
      <c r="D154" s="11">
        <f>アイスクリームの売り上げデータ!G154</f>
        <v>207</v>
      </c>
    </row>
    <row r="155" spans="2:4">
      <c r="B155" s="17">
        <f>アイスクリームの売り上げデータ!A155</f>
        <v>43618</v>
      </c>
      <c r="C155" s="11">
        <f>アイスクリームの売り上げデータ!C155</f>
        <v>22</v>
      </c>
      <c r="D155" s="11">
        <f>アイスクリームの売り上げデータ!G155</f>
        <v>227</v>
      </c>
    </row>
    <row r="156" spans="2:4">
      <c r="B156" s="17">
        <f>アイスクリームの売り上げデータ!A156</f>
        <v>43619</v>
      </c>
      <c r="C156" s="11">
        <f>アイスクリームの売り上げデータ!C156</f>
        <v>22.2</v>
      </c>
      <c r="D156" s="11">
        <f>アイスクリームの売り上げデータ!G156</f>
        <v>140</v>
      </c>
    </row>
    <row r="157" spans="2:4">
      <c r="B157" s="17">
        <f>アイスクリームの売り上げデータ!A157</f>
        <v>43620</v>
      </c>
      <c r="C157" s="11">
        <f>アイスクリームの売り上げデータ!C157</f>
        <v>22.4</v>
      </c>
      <c r="D157" s="11">
        <f>アイスクリームの売り上げデータ!G157</f>
        <v>168</v>
      </c>
    </row>
    <row r="158" spans="2:4">
      <c r="B158" s="17">
        <f>アイスクリームの売り上げデータ!A158</f>
        <v>43621</v>
      </c>
      <c r="C158" s="11">
        <f>アイスクリームの売り上げデータ!C158</f>
        <v>22.6</v>
      </c>
      <c r="D158" s="11">
        <f>アイスクリームの売り上げデータ!G158</f>
        <v>178</v>
      </c>
    </row>
    <row r="159" spans="2:4">
      <c r="B159" s="17">
        <f>アイスクリームの売り上げデータ!A159</f>
        <v>43622</v>
      </c>
      <c r="C159" s="11">
        <f>アイスクリームの売り上げデータ!C159</f>
        <v>25.2</v>
      </c>
      <c r="D159" s="11">
        <f>アイスクリームの売り上げデータ!G159</f>
        <v>167</v>
      </c>
    </row>
    <row r="160" spans="2:4">
      <c r="B160" s="17">
        <f>アイスクリームの売り上げデータ!A160</f>
        <v>43623</v>
      </c>
      <c r="C160" s="11">
        <f>アイスクリームの売り上げデータ!C160</f>
        <v>21</v>
      </c>
      <c r="D160" s="11">
        <f>アイスクリームの売り上げデータ!G160</f>
        <v>137</v>
      </c>
    </row>
    <row r="161" spans="2:4">
      <c r="B161" s="17">
        <f>アイスクリームの売り上げデータ!A161</f>
        <v>43624</v>
      </c>
      <c r="C161" s="11">
        <f>アイスクリームの売り上げデータ!C161</f>
        <v>20.8</v>
      </c>
      <c r="D161" s="11">
        <f>アイスクリームの売り上げデータ!G161</f>
        <v>215</v>
      </c>
    </row>
    <row r="162" spans="2:4">
      <c r="B162" s="17">
        <f>アイスクリームの売り上げデータ!A162</f>
        <v>43625</v>
      </c>
      <c r="C162" s="11">
        <f>アイスクリームの売り上げデータ!C162</f>
        <v>17.5</v>
      </c>
      <c r="D162" s="11">
        <f>アイスクリームの売り上げデータ!G162</f>
        <v>212</v>
      </c>
    </row>
    <row r="163" spans="2:4">
      <c r="B163" s="17">
        <f>アイスクリームの売り上げデータ!A163</f>
        <v>43626</v>
      </c>
      <c r="C163" s="11">
        <f>アイスクリームの売り上げデータ!C163</f>
        <v>16.2</v>
      </c>
      <c r="D163" s="11">
        <f>アイスクリームの売り上げデータ!G163</f>
        <v>31</v>
      </c>
    </row>
    <row r="164" spans="2:4">
      <c r="B164" s="17">
        <f>アイスクリームの売り上げデータ!A164</f>
        <v>43627</v>
      </c>
      <c r="C164" s="11">
        <f>アイスクリームの売り上げデータ!C164</f>
        <v>18.3</v>
      </c>
      <c r="D164" s="11">
        <f>アイスクリームの売り上げデータ!G164</f>
        <v>155</v>
      </c>
    </row>
    <row r="165" spans="2:4">
      <c r="B165" s="17">
        <f>アイスクリームの売り上げデータ!A165</f>
        <v>43628</v>
      </c>
      <c r="C165" s="11">
        <f>アイスクリームの売り上げデータ!C165</f>
        <v>18</v>
      </c>
      <c r="D165" s="11">
        <f>アイスクリームの売り上げデータ!G165</f>
        <v>160</v>
      </c>
    </row>
    <row r="166" spans="2:4">
      <c r="B166" s="17">
        <f>アイスクリームの売り上げデータ!A166</f>
        <v>43629</v>
      </c>
      <c r="C166" s="11">
        <f>アイスクリームの売り上げデータ!C166</f>
        <v>20.7</v>
      </c>
      <c r="D166" s="11">
        <f>アイスクリームの売り上げデータ!G166</f>
        <v>151</v>
      </c>
    </row>
    <row r="167" spans="2:4">
      <c r="B167" s="17">
        <f>アイスクリームの売り上げデータ!A167</f>
        <v>43630</v>
      </c>
      <c r="C167" s="11">
        <f>アイスクリームの売り上げデータ!C167</f>
        <v>22.2</v>
      </c>
      <c r="D167" s="11">
        <f>アイスクリームの売り上げデータ!G167</f>
        <v>176</v>
      </c>
    </row>
    <row r="168" spans="2:4">
      <c r="B168" s="17">
        <f>アイスクリームの売り上げデータ!A168</f>
        <v>43631</v>
      </c>
      <c r="C168" s="11">
        <f>アイスクリームの売り上げデータ!C168</f>
        <v>17.3</v>
      </c>
      <c r="D168" s="11">
        <f>アイスクリームの売り上げデータ!G168</f>
        <v>144</v>
      </c>
    </row>
    <row r="169" spans="2:4">
      <c r="B169" s="17">
        <f>アイスクリームの売り上げデータ!A169</f>
        <v>43632</v>
      </c>
      <c r="C169" s="11">
        <f>アイスクリームの売り上げデータ!C169</f>
        <v>23.5</v>
      </c>
      <c r="D169" s="11">
        <f>アイスクリームの売り上げデータ!G169</f>
        <v>234</v>
      </c>
    </row>
    <row r="170" spans="2:4">
      <c r="B170" s="17">
        <f>アイスクリームの売り上げデータ!A170</f>
        <v>43633</v>
      </c>
      <c r="C170" s="11">
        <f>アイスクリームの売り上げデータ!C170</f>
        <v>23.6</v>
      </c>
      <c r="D170" s="11">
        <f>アイスクリームの売り上げデータ!G170</f>
        <v>155</v>
      </c>
    </row>
    <row r="171" spans="2:4">
      <c r="B171" s="17">
        <f>アイスクリームの売り上げデータ!A171</f>
        <v>43634</v>
      </c>
      <c r="C171" s="11">
        <f>アイスクリームの売り上げデータ!C171</f>
        <v>23.4</v>
      </c>
      <c r="D171" s="11">
        <f>アイスクリームの売り上げデータ!G171</f>
        <v>181</v>
      </c>
    </row>
    <row r="172" spans="2:4">
      <c r="B172" s="17">
        <f>アイスクリームの売り上げデータ!A172</f>
        <v>43635</v>
      </c>
      <c r="C172" s="11">
        <f>アイスクリームの売り上げデータ!C172</f>
        <v>23.5</v>
      </c>
      <c r="D172" s="11">
        <f>アイスクリームの売り上げデータ!G172</f>
        <v>190</v>
      </c>
    </row>
    <row r="173" spans="2:4">
      <c r="B173" s="17">
        <f>アイスクリームの売り上げデータ!A173</f>
        <v>43636</v>
      </c>
      <c r="C173" s="11">
        <f>アイスクリームの売り上げデータ!C173</f>
        <v>24.1</v>
      </c>
      <c r="D173" s="11">
        <f>アイスクリームの売り上げデータ!G173</f>
        <v>183</v>
      </c>
    </row>
    <row r="174" spans="2:4">
      <c r="B174" s="17">
        <f>アイスクリームの売り上げデータ!A174</f>
        <v>43637</v>
      </c>
      <c r="C174" s="11">
        <f>アイスクリームの売り上げデータ!C174</f>
        <v>24.6</v>
      </c>
      <c r="D174" s="11">
        <f>アイスクリームの売り上げデータ!G174</f>
        <v>184</v>
      </c>
    </row>
    <row r="175" spans="2:4">
      <c r="B175" s="17">
        <f>アイスクリームの売り上げデータ!A175</f>
        <v>43638</v>
      </c>
      <c r="C175" s="11">
        <f>アイスクリームの売り上げデータ!C175</f>
        <v>22.2</v>
      </c>
      <c r="D175" s="11">
        <f>アイスクリームの売り上げデータ!G175</f>
        <v>219</v>
      </c>
    </row>
    <row r="176" spans="2:4">
      <c r="B176" s="17">
        <f>アイスクリームの売り上げデータ!A176</f>
        <v>43639</v>
      </c>
      <c r="C176" s="11">
        <f>アイスクリームの売り上げデータ!C176</f>
        <v>21.4</v>
      </c>
      <c r="D176" s="11">
        <f>アイスクリームの売り上げデータ!G176</f>
        <v>245</v>
      </c>
    </row>
    <row r="177" spans="2:4">
      <c r="B177" s="17">
        <f>アイスクリームの売り上げデータ!A177</f>
        <v>43640</v>
      </c>
      <c r="C177" s="11">
        <f>アイスクリームの売り上げデータ!C177</f>
        <v>19.100000000000001</v>
      </c>
      <c r="D177" s="11">
        <f>アイスクリームの売り上げデータ!G177</f>
        <v>102</v>
      </c>
    </row>
    <row r="178" spans="2:4">
      <c r="B178" s="17">
        <f>アイスクリームの売り上げデータ!A178</f>
        <v>43641</v>
      </c>
      <c r="C178" s="11">
        <f>アイスクリームの売り上げデータ!C178</f>
        <v>22.3</v>
      </c>
      <c r="D178" s="11">
        <f>アイスクリームの売り上げデータ!G178</f>
        <v>157</v>
      </c>
    </row>
    <row r="179" spans="2:4">
      <c r="B179" s="17">
        <f>アイスクリームの売り上げデータ!A179</f>
        <v>43642</v>
      </c>
      <c r="C179" s="11">
        <f>アイスクリームの売り上げデータ!C179</f>
        <v>24.7</v>
      </c>
      <c r="D179" s="11">
        <f>アイスクリームの売り上げデータ!G179</f>
        <v>191</v>
      </c>
    </row>
    <row r="180" spans="2:4">
      <c r="B180" s="17">
        <f>アイスクリームの売り上げデータ!A180</f>
        <v>43643</v>
      </c>
      <c r="C180" s="11">
        <f>アイスクリームの売り上げデータ!C180</f>
        <v>25.6</v>
      </c>
      <c r="D180" s="11">
        <f>アイスクリームの売り上げデータ!G180</f>
        <v>169</v>
      </c>
    </row>
    <row r="181" spans="2:4">
      <c r="B181" s="17">
        <f>アイスクリームの売り上げデータ!A181</f>
        <v>43644</v>
      </c>
      <c r="C181" s="11">
        <f>アイスクリームの売り上げデータ!C181</f>
        <v>25.2</v>
      </c>
      <c r="D181" s="11">
        <f>アイスクリームの売り上げデータ!G181</f>
        <v>183</v>
      </c>
    </row>
    <row r="182" spans="2:4">
      <c r="B182" s="17">
        <f>アイスクリームの売り上げデータ!A182</f>
        <v>43645</v>
      </c>
      <c r="C182" s="11">
        <f>アイスクリームの売り上げデータ!C182</f>
        <v>20.2</v>
      </c>
      <c r="D182" s="11">
        <f>アイスクリームの売り上げデータ!G182</f>
        <v>203</v>
      </c>
    </row>
    <row r="183" spans="2:4">
      <c r="B183" s="17">
        <f>アイスクリームの売り上げデータ!A183</f>
        <v>43646</v>
      </c>
      <c r="C183" s="11">
        <f>アイスクリームの売り上げデータ!C183</f>
        <v>21.6</v>
      </c>
      <c r="D183" s="11">
        <f>アイスクリームの売り上げデータ!G183</f>
        <v>240</v>
      </c>
    </row>
    <row r="184" spans="2:4">
      <c r="B184" s="17">
        <f>アイスクリームの売り上げデータ!A184</f>
        <v>43647</v>
      </c>
      <c r="C184" s="11">
        <f>アイスクリームの売り上げデータ!C184</f>
        <v>22.7</v>
      </c>
      <c r="D184" s="11">
        <f>アイスクリームの売り上げデータ!G184</f>
        <v>135</v>
      </c>
    </row>
    <row r="185" spans="2:4">
      <c r="B185" s="17">
        <f>アイスクリームの売り上げデータ!A185</f>
        <v>43648</v>
      </c>
      <c r="C185" s="11">
        <f>アイスクリームの売り上げデータ!C185</f>
        <v>23.8</v>
      </c>
      <c r="D185" s="11">
        <f>アイスクリームの売り上げデータ!G185</f>
        <v>185</v>
      </c>
    </row>
    <row r="186" spans="2:4">
      <c r="B186" s="17">
        <f>アイスクリームの売り上げデータ!A186</f>
        <v>43649</v>
      </c>
      <c r="C186" s="11">
        <f>アイスクリームの売り上げデータ!C186</f>
        <v>24.9</v>
      </c>
      <c r="D186" s="11">
        <f>アイスクリームの売り上げデータ!G186</f>
        <v>204</v>
      </c>
    </row>
    <row r="187" spans="2:4">
      <c r="B187" s="17">
        <f>アイスクリームの売り上げデータ!A187</f>
        <v>43650</v>
      </c>
      <c r="C187" s="11">
        <f>アイスクリームの売り上げデータ!C187</f>
        <v>22.7</v>
      </c>
      <c r="D187" s="11">
        <f>アイスクリームの売り上げデータ!G187</f>
        <v>167</v>
      </c>
    </row>
    <row r="188" spans="2:4">
      <c r="B188" s="17">
        <f>アイスクリームの売り上げデータ!A188</f>
        <v>43651</v>
      </c>
      <c r="C188" s="11">
        <f>アイスクリームの売り上げデータ!C188</f>
        <v>21.9</v>
      </c>
      <c r="D188" s="11">
        <f>アイスクリームの売り上げデータ!G188</f>
        <v>160</v>
      </c>
    </row>
    <row r="189" spans="2:4">
      <c r="B189" s="17">
        <f>アイスクリームの売り上げデータ!A189</f>
        <v>43652</v>
      </c>
      <c r="C189" s="11">
        <f>アイスクリームの売り上げデータ!C189</f>
        <v>21</v>
      </c>
      <c r="D189" s="11">
        <f>アイスクリームの売り上げデータ!G189</f>
        <v>194</v>
      </c>
    </row>
    <row r="190" spans="2:4">
      <c r="B190" s="17">
        <f>アイスクリームの売り上げデータ!A190</f>
        <v>43653</v>
      </c>
      <c r="C190" s="11">
        <f>アイスクリームの売り上げデータ!C190</f>
        <v>19.2</v>
      </c>
      <c r="D190" s="11">
        <f>アイスクリームの売り上げデータ!G190</f>
        <v>214</v>
      </c>
    </row>
    <row r="191" spans="2:4">
      <c r="B191" s="17">
        <f>アイスクリームの売り上げデータ!A191</f>
        <v>43654</v>
      </c>
      <c r="C191" s="11">
        <f>アイスクリームの売り上げデータ!C191</f>
        <v>20.3</v>
      </c>
      <c r="D191" s="11">
        <f>アイスクリームの売り上げデータ!G191</f>
        <v>146</v>
      </c>
    </row>
    <row r="192" spans="2:4">
      <c r="B192" s="17">
        <f>アイスクリームの売り上げデータ!A192</f>
        <v>43655</v>
      </c>
      <c r="C192" s="11">
        <f>アイスクリームの売り上げデータ!C192</f>
        <v>19.7</v>
      </c>
      <c r="D192" s="11">
        <f>アイスクリームの売り上げデータ!G192</f>
        <v>165</v>
      </c>
    </row>
    <row r="193" spans="2:4">
      <c r="B193" s="17">
        <f>アイスクリームの売り上げデータ!A193</f>
        <v>43656</v>
      </c>
      <c r="C193" s="11">
        <f>アイスクリームの売り上げデータ!C193</f>
        <v>21</v>
      </c>
      <c r="D193" s="11">
        <f>アイスクリームの売り上げデータ!G193</f>
        <v>197</v>
      </c>
    </row>
    <row r="194" spans="2:4">
      <c r="B194" s="17">
        <f>アイスクリームの売り上げデータ!A194</f>
        <v>43657</v>
      </c>
      <c r="C194" s="11">
        <f>アイスクリームの売り上げデータ!C194</f>
        <v>19.899999999999999</v>
      </c>
      <c r="D194" s="11">
        <f>アイスクリームの売り上げデータ!G194</f>
        <v>163</v>
      </c>
    </row>
    <row r="195" spans="2:4">
      <c r="B195" s="17">
        <f>アイスクリームの売り上げデータ!A195</f>
        <v>43658</v>
      </c>
      <c r="C195" s="11">
        <f>アイスクリームの売り上げデータ!C195</f>
        <v>20.2</v>
      </c>
      <c r="D195" s="11">
        <f>アイスクリームの売り上げデータ!G195</f>
        <v>151</v>
      </c>
    </row>
    <row r="196" spans="2:4">
      <c r="B196" s="17">
        <f>アイスクリームの売り上げデータ!A196</f>
        <v>43659</v>
      </c>
      <c r="C196" s="11">
        <f>アイスクリームの売り上げデータ!C196</f>
        <v>23.4</v>
      </c>
      <c r="D196" s="11">
        <f>アイスクリームの売り上げデータ!G196</f>
        <v>202</v>
      </c>
    </row>
    <row r="197" spans="2:4">
      <c r="B197" s="17">
        <f>アイスクリームの売り上げデータ!A197</f>
        <v>43660</v>
      </c>
      <c r="C197" s="11">
        <f>アイスクリームの売り上げデータ!C197</f>
        <v>21.3</v>
      </c>
      <c r="D197" s="11">
        <f>アイスクリームの売り上げデータ!G197</f>
        <v>225</v>
      </c>
    </row>
    <row r="198" spans="2:4">
      <c r="B198" s="17">
        <f>アイスクリームの売り上げデータ!A198</f>
        <v>43661</v>
      </c>
      <c r="C198" s="11">
        <f>アイスクリームの売り上げデータ!C198</f>
        <v>21.3</v>
      </c>
      <c r="D198" s="11">
        <f>アイスクリームの売り上げデータ!G198</f>
        <v>133</v>
      </c>
    </row>
    <row r="199" spans="2:4">
      <c r="B199" s="17">
        <f>アイスクリームの売り上げデータ!A199</f>
        <v>43662</v>
      </c>
      <c r="C199" s="11">
        <f>アイスクリームの売り上げデータ!C199</f>
        <v>20.5</v>
      </c>
      <c r="D199" s="11">
        <f>アイスクリームの売り上げデータ!G199</f>
        <v>138</v>
      </c>
    </row>
    <row r="200" spans="2:4">
      <c r="B200" s="17">
        <f>アイスクリームの売り上げデータ!A200</f>
        <v>43663</v>
      </c>
      <c r="C200" s="11">
        <f>アイスクリームの売り上げデータ!C200</f>
        <v>23.9</v>
      </c>
      <c r="D200" s="11">
        <f>アイスクリームの売り上げデータ!G200</f>
        <v>182</v>
      </c>
    </row>
    <row r="201" spans="2:4">
      <c r="B201" s="17">
        <f>アイスクリームの売り上げデータ!A201</f>
        <v>43664</v>
      </c>
      <c r="C201" s="11">
        <f>アイスクリームの売り上げデータ!C201</f>
        <v>25.6</v>
      </c>
      <c r="D201" s="11">
        <f>アイスクリームの売り上げデータ!G201</f>
        <v>165</v>
      </c>
    </row>
    <row r="202" spans="2:4">
      <c r="B202" s="17">
        <f>アイスクリームの売り上げデータ!A202</f>
        <v>43665</v>
      </c>
      <c r="C202" s="11">
        <f>アイスクリームの売り上げデータ!C202</f>
        <v>26.7</v>
      </c>
      <c r="D202" s="11">
        <f>アイスクリームの売り上げデータ!G202</f>
        <v>167</v>
      </c>
    </row>
    <row r="203" spans="2:4">
      <c r="B203" s="17">
        <f>アイスクリームの売り上げデータ!A203</f>
        <v>43666</v>
      </c>
      <c r="C203" s="11">
        <f>アイスクリームの売り上げデータ!C203</f>
        <v>26.5</v>
      </c>
      <c r="D203" s="11">
        <f>アイスクリームの売り上げデータ!G203</f>
        <v>230</v>
      </c>
    </row>
    <row r="204" spans="2:4">
      <c r="B204" s="17">
        <f>アイスクリームの売り上げデータ!A204</f>
        <v>43667</v>
      </c>
      <c r="C204" s="11">
        <f>アイスクリームの売り上げデータ!C204</f>
        <v>25</v>
      </c>
      <c r="D204" s="11">
        <f>アイスクリームの売り上げデータ!G204</f>
        <v>250</v>
      </c>
    </row>
    <row r="205" spans="2:4">
      <c r="B205" s="17">
        <f>アイスクリームの売り上げデータ!A205</f>
        <v>43668</v>
      </c>
      <c r="C205" s="11">
        <f>アイスクリームの売り上げデータ!C205</f>
        <v>22.7</v>
      </c>
      <c r="D205" s="11">
        <f>アイスクリームの売り上げデータ!G205</f>
        <v>148</v>
      </c>
    </row>
    <row r="206" spans="2:4">
      <c r="B206" s="17">
        <f>アイスクリームの売り上げデータ!A206</f>
        <v>43669</v>
      </c>
      <c r="C206" s="11">
        <f>アイスクリームの売り上げデータ!C206</f>
        <v>24.5</v>
      </c>
      <c r="D206" s="11">
        <f>アイスクリームの売り上げデータ!G206</f>
        <v>169</v>
      </c>
    </row>
    <row r="207" spans="2:4">
      <c r="B207" s="17">
        <f>アイスクリームの売り上げデータ!A207</f>
        <v>43670</v>
      </c>
      <c r="C207" s="11">
        <f>アイスクリームの売り上げデータ!C207</f>
        <v>26.8</v>
      </c>
      <c r="D207" s="11">
        <f>アイスクリームの売り上げデータ!G207</f>
        <v>198</v>
      </c>
    </row>
    <row r="208" spans="2:4">
      <c r="B208" s="17">
        <f>アイスクリームの売り上げデータ!A208</f>
        <v>43671</v>
      </c>
      <c r="C208" s="11">
        <f>アイスクリームの売り上げデータ!C208</f>
        <v>28</v>
      </c>
      <c r="D208" s="11">
        <f>アイスクリームの売り上げデータ!G208</f>
        <v>192</v>
      </c>
    </row>
    <row r="209" spans="2:4">
      <c r="B209" s="17">
        <f>アイスクリームの売り上げデータ!A209</f>
        <v>43672</v>
      </c>
      <c r="C209" s="11">
        <f>アイスクリームの売り上げデータ!C209</f>
        <v>28.5</v>
      </c>
      <c r="D209" s="11">
        <f>アイスクリームの売り上げデータ!G209</f>
        <v>184</v>
      </c>
    </row>
    <row r="210" spans="2:4">
      <c r="B210" s="17">
        <f>アイスクリームの売り上げデータ!A210</f>
        <v>43673</v>
      </c>
      <c r="C210" s="11">
        <f>アイスクリームの売り上げデータ!C210</f>
        <v>28</v>
      </c>
      <c r="D210" s="11">
        <f>アイスクリームの売り上げデータ!G210</f>
        <v>230</v>
      </c>
    </row>
    <row r="211" spans="2:4">
      <c r="B211" s="17">
        <f>アイスクリームの売り上げデータ!A211</f>
        <v>43674</v>
      </c>
      <c r="C211" s="11">
        <f>アイスクリームの売り上げデータ!C211</f>
        <v>27.7</v>
      </c>
      <c r="D211" s="11">
        <f>アイスクリームの売り上げデータ!G211</f>
        <v>267</v>
      </c>
    </row>
    <row r="212" spans="2:4">
      <c r="B212" s="17">
        <f>アイスクリームの売り上げデータ!A212</f>
        <v>43675</v>
      </c>
      <c r="C212" s="11">
        <f>アイスクリームの売り上げデータ!C212</f>
        <v>29</v>
      </c>
      <c r="D212" s="11">
        <f>アイスクリームの売り上げデータ!G212</f>
        <v>173</v>
      </c>
    </row>
    <row r="213" spans="2:4">
      <c r="B213" s="17">
        <f>アイスクリームの売り上げデータ!A213</f>
        <v>43676</v>
      </c>
      <c r="C213" s="11">
        <f>アイスクリームの売り上げデータ!C213</f>
        <v>29.5</v>
      </c>
      <c r="D213" s="11">
        <f>アイスクリームの売り上げデータ!G213</f>
        <v>190</v>
      </c>
    </row>
    <row r="214" spans="2:4">
      <c r="B214" s="17">
        <f>アイスクリームの売り上げデータ!A214</f>
        <v>43677</v>
      </c>
      <c r="C214" s="11">
        <f>アイスクリームの売り上げデータ!C214</f>
        <v>30</v>
      </c>
      <c r="D214" s="11">
        <f>アイスクリームの売り上げデータ!G214</f>
        <v>215</v>
      </c>
    </row>
    <row r="215" spans="2:4">
      <c r="B215" s="17">
        <f>アイスクリームの売り上げデータ!A215</f>
        <v>43678</v>
      </c>
      <c r="C215" s="11">
        <f>アイスクリームの売り上げデータ!C215</f>
        <v>30.5</v>
      </c>
      <c r="D215" s="11">
        <f>アイスクリームの売り上げデータ!G215</f>
        <v>203</v>
      </c>
    </row>
    <row r="216" spans="2:4">
      <c r="B216" s="17">
        <f>アイスクリームの売り上げデータ!A216</f>
        <v>43679</v>
      </c>
      <c r="C216" s="11">
        <f>アイスクリームの売り上げデータ!C216</f>
        <v>30.2</v>
      </c>
      <c r="D216" s="11">
        <f>アイスクリームの売り上げデータ!G216</f>
        <v>189</v>
      </c>
    </row>
    <row r="217" spans="2:4">
      <c r="B217" s="17">
        <f>アイスクリームの売り上げデータ!A217</f>
        <v>43680</v>
      </c>
      <c r="C217" s="11">
        <f>アイスクリームの売り上げデータ!C217</f>
        <v>29.4</v>
      </c>
      <c r="D217" s="11">
        <f>アイスクリームの売り上げデータ!G217</f>
        <v>252</v>
      </c>
    </row>
    <row r="218" spans="2:4">
      <c r="B218" s="17">
        <f>アイスクリームの売り上げデータ!A218</f>
        <v>43681</v>
      </c>
      <c r="C218" s="11">
        <f>アイスクリームの売り上げデータ!C218</f>
        <v>29.4</v>
      </c>
      <c r="D218" s="11">
        <f>アイスクリームの売り上げデータ!G218</f>
        <v>269</v>
      </c>
    </row>
    <row r="219" spans="2:4">
      <c r="B219" s="17">
        <f>アイスクリームの売り上げデータ!A219</f>
        <v>43682</v>
      </c>
      <c r="C219" s="11">
        <f>アイスクリームの売り上げデータ!C219</f>
        <v>29.8</v>
      </c>
      <c r="D219" s="11">
        <f>アイスクリームの売り上げデータ!G219</f>
        <v>165</v>
      </c>
    </row>
    <row r="220" spans="2:4">
      <c r="B220" s="17">
        <f>アイスクリームの売り上げデータ!A220</f>
        <v>43683</v>
      </c>
      <c r="C220" s="11">
        <f>アイスクリームの売り上げデータ!C220</f>
        <v>30.3</v>
      </c>
      <c r="D220" s="11">
        <f>アイスクリームの売り上げデータ!G220</f>
        <v>190</v>
      </c>
    </row>
    <row r="221" spans="2:4">
      <c r="B221" s="17">
        <f>アイスクリームの売り上げデータ!A221</f>
        <v>43684</v>
      </c>
      <c r="C221" s="11">
        <f>アイスクリームの売り上げデータ!C221</f>
        <v>30.4</v>
      </c>
      <c r="D221" s="11">
        <f>アイスクリームの売り上げデータ!G221</f>
        <v>223</v>
      </c>
    </row>
    <row r="222" spans="2:4">
      <c r="B222" s="17">
        <f>アイスクリームの売り上げデータ!A222</f>
        <v>43685</v>
      </c>
      <c r="C222" s="11">
        <f>アイスクリームの売り上げデータ!C222</f>
        <v>29.9</v>
      </c>
      <c r="D222" s="11">
        <f>アイスクリームの売り上げデータ!G222</f>
        <v>186</v>
      </c>
    </row>
    <row r="223" spans="2:4">
      <c r="B223" s="17">
        <f>アイスクリームの売り上げデータ!A223</f>
        <v>43686</v>
      </c>
      <c r="C223" s="11">
        <f>アイスクリームの売り上げデータ!C223</f>
        <v>30.1</v>
      </c>
      <c r="D223" s="11">
        <f>アイスクリームの売り上げデータ!G223</f>
        <v>187</v>
      </c>
    </row>
    <row r="224" spans="2:4">
      <c r="B224" s="17">
        <f>アイスクリームの売り上げデータ!A224</f>
        <v>43687</v>
      </c>
      <c r="C224" s="11">
        <f>アイスクリームの売り上げデータ!C224</f>
        <v>29.6</v>
      </c>
      <c r="D224" s="11">
        <f>アイスクリームの売り上げデータ!G224</f>
        <v>239</v>
      </c>
    </row>
    <row r="225" spans="2:4">
      <c r="B225" s="17">
        <f>アイスクリームの売り上げデータ!A225</f>
        <v>43688</v>
      </c>
      <c r="C225" s="11">
        <f>アイスクリームの売り上げデータ!C225</f>
        <v>29.4</v>
      </c>
      <c r="D225" s="11">
        <f>アイスクリームの売り上げデータ!G225</f>
        <v>276</v>
      </c>
    </row>
    <row r="226" spans="2:4">
      <c r="B226" s="17">
        <f>アイスクリームの売り上げデータ!A226</f>
        <v>43689</v>
      </c>
      <c r="C226" s="11">
        <f>アイスクリームの売り上げデータ!C226</f>
        <v>28.8</v>
      </c>
      <c r="D226" s="11">
        <f>アイスクリームの売り上げデータ!G226</f>
        <v>161</v>
      </c>
    </row>
    <row r="227" spans="2:4">
      <c r="B227" s="17">
        <f>アイスクリームの売り上げデータ!A227</f>
        <v>43690</v>
      </c>
      <c r="C227" s="11">
        <f>アイスクリームの売り上げデータ!C227</f>
        <v>29.3</v>
      </c>
      <c r="D227" s="11">
        <f>アイスクリームの売り上げデータ!G227</f>
        <v>184</v>
      </c>
    </row>
    <row r="228" spans="2:4">
      <c r="B228" s="17">
        <f>アイスクリームの売り上げデータ!A228</f>
        <v>43691</v>
      </c>
      <c r="C228" s="11">
        <f>アイスクリームの売り上げデータ!C228</f>
        <v>29.2</v>
      </c>
      <c r="D228" s="11">
        <f>アイスクリームの売り上げデータ!G228</f>
        <v>215</v>
      </c>
    </row>
    <row r="229" spans="2:4">
      <c r="B229" s="17">
        <f>アイスクリームの売り上げデータ!A229</f>
        <v>43692</v>
      </c>
      <c r="C229" s="11">
        <f>アイスクリームの売り上げデータ!C229</f>
        <v>29.2</v>
      </c>
      <c r="D229" s="11">
        <f>アイスクリームの売り上げデータ!G229</f>
        <v>166</v>
      </c>
    </row>
    <row r="230" spans="2:4">
      <c r="B230" s="17">
        <f>アイスクリームの売り上げデータ!A230</f>
        <v>43693</v>
      </c>
      <c r="C230" s="11">
        <f>アイスクリームの売り上げデータ!C230</f>
        <v>29</v>
      </c>
      <c r="D230" s="11">
        <f>アイスクリームの売り上げデータ!G230</f>
        <v>198</v>
      </c>
    </row>
    <row r="231" spans="2:4">
      <c r="B231" s="17">
        <f>アイスクリームの売り上げデータ!A231</f>
        <v>43694</v>
      </c>
      <c r="C231" s="11">
        <f>アイスクリームの売り上げデータ!C231</f>
        <v>30.3</v>
      </c>
      <c r="D231" s="11">
        <f>アイスクリームの売り上げデータ!G231</f>
        <v>242</v>
      </c>
    </row>
    <row r="232" spans="2:4">
      <c r="B232" s="17">
        <f>アイスクリームの売り上げデータ!A232</f>
        <v>43695</v>
      </c>
      <c r="C232" s="11">
        <f>アイスクリームの売り上げデータ!C232</f>
        <v>30.1</v>
      </c>
      <c r="D232" s="11">
        <f>アイスクリームの売り上げデータ!G232</f>
        <v>291</v>
      </c>
    </row>
    <row r="233" spans="2:4">
      <c r="B233" s="17">
        <f>アイスクリームの売り上げデータ!A233</f>
        <v>43696</v>
      </c>
      <c r="C233" s="11">
        <f>アイスクリームの売り上げデータ!C233</f>
        <v>28.1</v>
      </c>
      <c r="D233" s="11">
        <f>アイスクリームの売り上げデータ!G233</f>
        <v>168</v>
      </c>
    </row>
    <row r="234" spans="2:4">
      <c r="B234" s="17">
        <f>アイスクリームの売り上げデータ!A234</f>
        <v>43697</v>
      </c>
      <c r="C234" s="11">
        <f>アイスクリームの売り上げデータ!C234</f>
        <v>26.5</v>
      </c>
      <c r="D234" s="11">
        <f>アイスクリームの売り上げデータ!G234</f>
        <v>182</v>
      </c>
    </row>
    <row r="235" spans="2:4">
      <c r="B235" s="17">
        <f>アイスクリームの売り上げデータ!A235</f>
        <v>43698</v>
      </c>
      <c r="C235" s="11">
        <f>アイスクリームの売り上げデータ!C235</f>
        <v>27</v>
      </c>
      <c r="D235" s="11">
        <f>アイスクリームの売り上げデータ!G235</f>
        <v>210</v>
      </c>
    </row>
    <row r="236" spans="2:4">
      <c r="B236" s="17">
        <f>アイスクリームの売り上げデータ!A236</f>
        <v>43699</v>
      </c>
      <c r="C236" s="11">
        <f>アイスクリームの売り上げデータ!C236</f>
        <v>26</v>
      </c>
      <c r="D236" s="11">
        <f>アイスクリームの売り上げデータ!G236</f>
        <v>169</v>
      </c>
    </row>
    <row r="237" spans="2:4">
      <c r="B237" s="17">
        <f>アイスクリームの売り上げデータ!A237</f>
        <v>43700</v>
      </c>
      <c r="C237" s="11">
        <f>アイスクリームの売り上げデータ!C237</f>
        <v>26.3</v>
      </c>
      <c r="D237" s="11">
        <f>アイスクリームの売り上げデータ!G237</f>
        <v>176</v>
      </c>
    </row>
    <row r="238" spans="2:4">
      <c r="B238" s="17">
        <f>アイスクリームの売り上げデータ!A238</f>
        <v>43701</v>
      </c>
      <c r="C238" s="11">
        <f>アイスクリームの売り上げデータ!C238</f>
        <v>27.3</v>
      </c>
      <c r="D238" s="11">
        <f>アイスクリームの売り上げデータ!G238</f>
        <v>236</v>
      </c>
    </row>
    <row r="239" spans="2:4">
      <c r="B239" s="17">
        <f>アイスクリームの売り上げデータ!A239</f>
        <v>43702</v>
      </c>
      <c r="C239" s="11">
        <f>アイスクリームの売り上げデータ!C239</f>
        <v>25.8</v>
      </c>
      <c r="D239" s="11">
        <f>アイスクリームの売り上げデータ!G239</f>
        <v>259</v>
      </c>
    </row>
    <row r="240" spans="2:4">
      <c r="B240" s="17">
        <f>アイスクリームの売り上げデータ!A240</f>
        <v>43703</v>
      </c>
      <c r="C240" s="11">
        <f>アイスクリームの売り上げデータ!C240</f>
        <v>25.3</v>
      </c>
      <c r="D240" s="11">
        <f>アイスクリームの売り上げデータ!G240</f>
        <v>158</v>
      </c>
    </row>
    <row r="241" spans="2:4">
      <c r="B241" s="17">
        <f>アイスクリームの売り上げデータ!A241</f>
        <v>43704</v>
      </c>
      <c r="C241" s="11">
        <f>アイスクリームの売り上げデータ!C241</f>
        <v>25.3</v>
      </c>
      <c r="D241" s="11">
        <f>アイスクリームの売り上げデータ!G241</f>
        <v>182</v>
      </c>
    </row>
    <row r="242" spans="2:4">
      <c r="B242" s="17">
        <f>アイスクリームの売り上げデータ!A242</f>
        <v>43705</v>
      </c>
      <c r="C242" s="11">
        <f>アイスクリームの売り上げデータ!C242</f>
        <v>25.6</v>
      </c>
      <c r="D242" s="11">
        <f>アイスクリームの売り上げデータ!G242</f>
        <v>194</v>
      </c>
    </row>
    <row r="243" spans="2:4">
      <c r="B243" s="17">
        <f>アイスクリームの売り上げデータ!A243</f>
        <v>43706</v>
      </c>
      <c r="C243" s="11">
        <f>アイスクリームの売り上げデータ!C243</f>
        <v>28.9</v>
      </c>
      <c r="D243" s="11">
        <f>アイスクリームの売り上げデータ!G243</f>
        <v>182</v>
      </c>
    </row>
    <row r="244" spans="2:4">
      <c r="B244" s="17">
        <f>アイスクリームの売り上げデータ!A244</f>
        <v>43707</v>
      </c>
      <c r="C244" s="11">
        <f>アイスクリームの売り上げデータ!C244</f>
        <v>26</v>
      </c>
      <c r="D244" s="11">
        <f>アイスクリームの売り上げデータ!G244</f>
        <v>174</v>
      </c>
    </row>
    <row r="245" spans="2:4">
      <c r="B245" s="17">
        <f>アイスクリームの売り上げデータ!A245</f>
        <v>43708</v>
      </c>
      <c r="C245" s="11">
        <f>アイスクリームの売り上げデータ!C245</f>
        <v>27.3</v>
      </c>
      <c r="D245" s="11">
        <f>アイスクリームの売り上げデータ!G245</f>
        <v>223</v>
      </c>
    </row>
    <row r="246" spans="2:4">
      <c r="B246" s="17">
        <f>アイスクリームの売り上げデータ!A246</f>
        <v>43709</v>
      </c>
      <c r="C246" s="11">
        <f>アイスクリームの売り上げデータ!C246</f>
        <v>27.7</v>
      </c>
      <c r="D246" s="11">
        <f>アイスクリームの売り上げデータ!G246</f>
        <v>260</v>
      </c>
    </row>
    <row r="247" spans="2:4">
      <c r="B247" s="17">
        <f>アイスクリームの売り上げデータ!A247</f>
        <v>43710</v>
      </c>
      <c r="C247" s="11">
        <f>アイスクリームの売り上げデータ!C247</f>
        <v>27.6</v>
      </c>
      <c r="D247" s="11">
        <f>アイスクリームの売り上げデータ!G247</f>
        <v>163</v>
      </c>
    </row>
    <row r="248" spans="2:4">
      <c r="B248" s="17">
        <f>アイスクリームの売り上げデータ!A248</f>
        <v>43711</v>
      </c>
      <c r="C248" s="11">
        <f>アイスクリームの売り上げデータ!C248</f>
        <v>25.8</v>
      </c>
      <c r="D248" s="11">
        <f>アイスクリームの売り上げデータ!G248</f>
        <v>174</v>
      </c>
    </row>
    <row r="249" spans="2:4">
      <c r="B249" s="17">
        <f>アイスクリームの売り上げデータ!A249</f>
        <v>43712</v>
      </c>
      <c r="C249" s="11">
        <f>アイスクリームの売り上げデータ!C249</f>
        <v>23.7</v>
      </c>
      <c r="D249" s="11">
        <f>アイスクリームの売り上げデータ!G249</f>
        <v>198</v>
      </c>
    </row>
    <row r="250" spans="2:4">
      <c r="B250" s="17">
        <f>アイスクリームの売り上げデータ!A250</f>
        <v>43713</v>
      </c>
      <c r="C250" s="11">
        <f>アイスクリームの売り上げデータ!C250</f>
        <v>25.7</v>
      </c>
      <c r="D250" s="11">
        <f>アイスクリームの売り上げデータ!G250</f>
        <v>183</v>
      </c>
    </row>
    <row r="251" spans="2:4">
      <c r="B251" s="17">
        <f>アイスクリームの売り上げデータ!A251</f>
        <v>43714</v>
      </c>
      <c r="C251" s="11">
        <f>アイスクリームの売り上げデータ!C251</f>
        <v>27.9</v>
      </c>
      <c r="D251" s="11">
        <f>アイスクリームの売り上げデータ!G251</f>
        <v>196</v>
      </c>
    </row>
    <row r="252" spans="2:4">
      <c r="B252" s="17">
        <f>アイスクリームの売り上げデータ!A252</f>
        <v>43715</v>
      </c>
      <c r="C252" s="11">
        <f>アイスクリームの売り上げデータ!C252</f>
        <v>28.4</v>
      </c>
      <c r="D252" s="11">
        <f>アイスクリームの売り上げデータ!G252</f>
        <v>239</v>
      </c>
    </row>
    <row r="253" spans="2:4">
      <c r="B253" s="17">
        <f>アイスクリームの売り上げデータ!A253</f>
        <v>43716</v>
      </c>
      <c r="C253" s="11">
        <f>アイスクリームの売り上げデータ!C253</f>
        <v>29.1</v>
      </c>
      <c r="D253" s="11">
        <f>アイスクリームの売り上げデータ!G253</f>
        <v>242</v>
      </c>
    </row>
    <row r="254" spans="2:4">
      <c r="B254" s="17">
        <f>アイスクリームの売り上げデータ!A254</f>
        <v>43717</v>
      </c>
      <c r="C254" s="11">
        <f>アイスクリームの売り上げデータ!C254</f>
        <v>29</v>
      </c>
      <c r="D254" s="11">
        <f>アイスクリームの売り上げデータ!G254</f>
        <v>42</v>
      </c>
    </row>
    <row r="255" spans="2:4">
      <c r="B255" s="17">
        <f>アイスクリームの売り上げデータ!A255</f>
        <v>43718</v>
      </c>
      <c r="C255" s="11">
        <f>アイスクリームの売り上げデータ!C255</f>
        <v>29.9</v>
      </c>
      <c r="D255" s="11">
        <f>アイスクリームの売り上げデータ!G255</f>
        <v>185</v>
      </c>
    </row>
    <row r="256" spans="2:4">
      <c r="B256" s="17">
        <f>アイスクリームの売り上げデータ!A256</f>
        <v>43719</v>
      </c>
      <c r="C256" s="11">
        <f>アイスクリームの売り上げデータ!C256</f>
        <v>27.4</v>
      </c>
      <c r="D256" s="11">
        <f>アイスクリームの売り上げデータ!G256</f>
        <v>210</v>
      </c>
    </row>
    <row r="257" spans="2:4">
      <c r="B257" s="17">
        <f>アイスクリームの売り上げデータ!A257</f>
        <v>43720</v>
      </c>
      <c r="C257" s="11">
        <f>アイスクリームの売り上げデータ!C257</f>
        <v>25.1</v>
      </c>
      <c r="D257" s="11">
        <f>アイスクリームの売り上げデータ!G257</f>
        <v>173</v>
      </c>
    </row>
    <row r="258" spans="2:4">
      <c r="B258" s="17">
        <f>アイスクリームの売り上げデータ!A258</f>
        <v>43721</v>
      </c>
      <c r="C258" s="11">
        <f>アイスクリームの売り上げデータ!C258</f>
        <v>22.4</v>
      </c>
      <c r="D258" s="11">
        <f>アイスクリームの売り上げデータ!G258</f>
        <v>160</v>
      </c>
    </row>
    <row r="259" spans="2:4">
      <c r="B259" s="17">
        <f>アイスクリームの売り上げデータ!A259</f>
        <v>43722</v>
      </c>
      <c r="C259" s="11">
        <f>アイスクリームの売り上げデータ!C259</f>
        <v>22.1</v>
      </c>
      <c r="D259" s="11">
        <f>アイスクリームの売り上げデータ!G259</f>
        <v>224</v>
      </c>
    </row>
    <row r="260" spans="2:4">
      <c r="B260" s="17">
        <f>アイスクリームの売り上げデータ!A260</f>
        <v>43723</v>
      </c>
      <c r="C260" s="11">
        <f>アイスクリームの売り上げデータ!C260</f>
        <v>25.2</v>
      </c>
      <c r="D260" s="11">
        <f>アイスクリームの売り上げデータ!G260</f>
        <v>276</v>
      </c>
    </row>
    <row r="261" spans="2:4">
      <c r="B261" s="17">
        <f>アイスクリームの売り上げデータ!A261</f>
        <v>43724</v>
      </c>
      <c r="C261" s="11">
        <f>アイスクリームの売り上げデータ!C261</f>
        <v>22.9</v>
      </c>
      <c r="D261" s="11">
        <f>アイスクリームの売り上げデータ!G261</f>
        <v>122</v>
      </c>
    </row>
    <row r="262" spans="2:4">
      <c r="B262" s="17">
        <f>アイスクリームの売り上げデータ!A262</f>
        <v>43725</v>
      </c>
      <c r="C262" s="11">
        <f>アイスクリームの売り上げデータ!C262</f>
        <v>25.8</v>
      </c>
      <c r="D262" s="11">
        <f>アイスクリームの売り上げデータ!G262</f>
        <v>169</v>
      </c>
    </row>
    <row r="263" spans="2:4">
      <c r="B263" s="17">
        <f>アイスクリームの売り上げデータ!A263</f>
        <v>43726</v>
      </c>
      <c r="C263" s="11">
        <f>アイスクリームの売り上げデータ!C263</f>
        <v>21.2</v>
      </c>
      <c r="D263" s="11">
        <f>アイスクリームの売り上げデータ!G263</f>
        <v>164</v>
      </c>
    </row>
    <row r="264" spans="2:4">
      <c r="B264" s="17">
        <f>アイスクリームの売り上げデータ!A264</f>
        <v>43727</v>
      </c>
      <c r="C264" s="11">
        <f>アイスクリームの売り上げデータ!C264</f>
        <v>22.1</v>
      </c>
      <c r="D264" s="11">
        <f>アイスクリームの売り上げデータ!G264</f>
        <v>172</v>
      </c>
    </row>
    <row r="265" spans="2:4">
      <c r="B265" s="17">
        <f>アイスクリームの売り上げデータ!A265</f>
        <v>43728</v>
      </c>
      <c r="C265" s="11">
        <f>アイスクリームの売り上げデータ!C265</f>
        <v>22.8</v>
      </c>
      <c r="D265" s="11">
        <f>アイスクリームの売り上げデータ!G265</f>
        <v>158</v>
      </c>
    </row>
    <row r="266" spans="2:4">
      <c r="B266" s="17">
        <f>アイスクリームの売り上げデータ!A266</f>
        <v>43729</v>
      </c>
      <c r="C266" s="11">
        <f>アイスクリームの売り上げデータ!C266</f>
        <v>21.8</v>
      </c>
      <c r="D266" s="11">
        <f>アイスクリームの売り上げデータ!G266</f>
        <v>210</v>
      </c>
    </row>
    <row r="267" spans="2:4">
      <c r="B267" s="17">
        <f>アイスクリームの売り上げデータ!A267</f>
        <v>43730</v>
      </c>
      <c r="C267" s="11">
        <f>アイスクリームの売り上げデータ!C267</f>
        <v>22.4</v>
      </c>
      <c r="D267" s="11">
        <f>アイスクリームの売り上げデータ!G267</f>
        <v>235</v>
      </c>
    </row>
    <row r="268" spans="2:4">
      <c r="B268" s="17">
        <f>アイスクリームの売り上げデータ!A268</f>
        <v>43731</v>
      </c>
      <c r="C268" s="11">
        <f>アイスクリームの売り上げデータ!C268</f>
        <v>26</v>
      </c>
      <c r="D268" s="11">
        <f>アイスクリームの売り上げデータ!G268</f>
        <v>152</v>
      </c>
    </row>
    <row r="269" spans="2:4">
      <c r="B269" s="17">
        <f>アイスクリームの売り上げデータ!A269</f>
        <v>43732</v>
      </c>
      <c r="C269" s="11">
        <f>アイスクリームの売り上げデータ!C269</f>
        <v>25.4</v>
      </c>
      <c r="D269" s="11">
        <f>アイスクリームの売り上げデータ!G269</f>
        <v>180</v>
      </c>
    </row>
    <row r="270" spans="2:4">
      <c r="B270" s="17">
        <f>アイスクリームの売り上げデータ!A270</f>
        <v>43733</v>
      </c>
      <c r="C270" s="11">
        <f>アイスクリームの売り上げデータ!C270</f>
        <v>24.3</v>
      </c>
      <c r="D270" s="11">
        <f>アイスクリームの売り上げデータ!G270</f>
        <v>208</v>
      </c>
    </row>
    <row r="271" spans="2:4">
      <c r="B271" s="17">
        <f>アイスクリームの売り上げデータ!A271</f>
        <v>43734</v>
      </c>
      <c r="C271" s="11">
        <f>アイスクリームの売り上げデータ!C271</f>
        <v>22.8</v>
      </c>
      <c r="D271" s="11">
        <f>アイスクリームの売り上げデータ!G271</f>
        <v>181</v>
      </c>
    </row>
    <row r="272" spans="2:4">
      <c r="B272" s="17">
        <f>アイスクリームの売り上げデータ!A272</f>
        <v>43735</v>
      </c>
      <c r="C272" s="11">
        <f>アイスクリームの売り上げデータ!C272</f>
        <v>23</v>
      </c>
      <c r="D272" s="11">
        <f>アイスクリームの売り上げデータ!G272</f>
        <v>176</v>
      </c>
    </row>
    <row r="273" spans="2:4">
      <c r="B273" s="17">
        <f>アイスクリームの売り上げデータ!A273</f>
        <v>43736</v>
      </c>
      <c r="C273" s="11">
        <f>アイスクリームの売り上げデータ!C273</f>
        <v>24.4</v>
      </c>
      <c r="D273" s="11">
        <f>アイスクリームの売り上げデータ!G273</f>
        <v>213</v>
      </c>
    </row>
    <row r="274" spans="2:4">
      <c r="B274" s="17">
        <f>アイスクリームの売り上げデータ!A274</f>
        <v>43737</v>
      </c>
      <c r="C274" s="11">
        <f>アイスクリームの売り上げデータ!C274</f>
        <v>24.7</v>
      </c>
      <c r="D274" s="11">
        <f>アイスクリームの売り上げデータ!G274</f>
        <v>256</v>
      </c>
    </row>
    <row r="275" spans="2:4">
      <c r="B275" s="17">
        <f>アイスクリームの売り上げデータ!A275</f>
        <v>43738</v>
      </c>
      <c r="C275" s="11">
        <f>アイスクリームの売り上げデータ!C275</f>
        <v>25.2</v>
      </c>
      <c r="D275" s="11">
        <f>アイスクリームの売り上げデータ!G275</f>
        <v>162</v>
      </c>
    </row>
    <row r="276" spans="2:4">
      <c r="B276" s="17">
        <f>アイスクリームの売り上げデータ!A276</f>
        <v>43739</v>
      </c>
      <c r="C276" s="11">
        <f>アイスクリームの売り上げデータ!C276</f>
        <v>24.5</v>
      </c>
      <c r="D276" s="11">
        <f>アイスクリームの売り上げデータ!G276</f>
        <v>174</v>
      </c>
    </row>
    <row r="277" spans="2:4">
      <c r="B277" s="17">
        <f>アイスクリームの売り上げデータ!A277</f>
        <v>43740</v>
      </c>
      <c r="C277" s="11">
        <f>アイスクリームの売り上げデータ!C277</f>
        <v>23.9</v>
      </c>
      <c r="D277" s="11">
        <f>アイスクリームの売り上げデータ!G277</f>
        <v>193</v>
      </c>
    </row>
    <row r="278" spans="2:4">
      <c r="B278" s="17">
        <f>アイスクリームの売り上げデータ!A278</f>
        <v>43741</v>
      </c>
      <c r="C278" s="11">
        <f>アイスクリームの売り上げデータ!C278</f>
        <v>24.5</v>
      </c>
      <c r="D278" s="11">
        <f>アイスクリームの売り上げデータ!G278</f>
        <v>171</v>
      </c>
    </row>
    <row r="279" spans="2:4">
      <c r="B279" s="17">
        <f>アイスクリームの売り上げデータ!A279</f>
        <v>43742</v>
      </c>
      <c r="C279" s="11">
        <f>アイスクリームの売り上げデータ!C279</f>
        <v>24.8</v>
      </c>
      <c r="D279" s="11">
        <f>アイスクリームの売り上げデータ!G279</f>
        <v>161</v>
      </c>
    </row>
    <row r="280" spans="2:4">
      <c r="B280" s="17">
        <f>アイスクリームの売り上げデータ!A280</f>
        <v>43743</v>
      </c>
      <c r="C280" s="11">
        <f>アイスクリームの売り上げデータ!C280</f>
        <v>26.1</v>
      </c>
      <c r="D280" s="11">
        <f>アイスクリームの売り上げデータ!G280</f>
        <v>236</v>
      </c>
    </row>
    <row r="281" spans="2:4">
      <c r="B281" s="17">
        <f>アイスクリームの売り上げデータ!A281</f>
        <v>43744</v>
      </c>
      <c r="C281" s="11">
        <f>アイスクリームの売り上げデータ!C281</f>
        <v>20.5</v>
      </c>
      <c r="D281" s="11">
        <f>アイスクリームの売り上げデータ!G281</f>
        <v>217</v>
      </c>
    </row>
    <row r="282" spans="2:4">
      <c r="B282" s="17">
        <f>アイスクリームの売り上げデータ!A282</f>
        <v>43745</v>
      </c>
      <c r="C282" s="11">
        <f>アイスクリームの売り上げデータ!C282</f>
        <v>20</v>
      </c>
      <c r="D282" s="11">
        <f>アイスクリームの売り上げデータ!G282</f>
        <v>138</v>
      </c>
    </row>
    <row r="283" spans="2:4">
      <c r="B283" s="17">
        <f>アイスクリームの売り上げデータ!A283</f>
        <v>43746</v>
      </c>
      <c r="C283" s="11">
        <f>アイスクリームの売り上げデータ!C283</f>
        <v>21.7</v>
      </c>
      <c r="D283" s="11">
        <f>アイスクリームの売り上げデータ!G283</f>
        <v>166</v>
      </c>
    </row>
    <row r="284" spans="2:4">
      <c r="B284" s="17">
        <f>アイスクリームの売り上げデータ!A284</f>
        <v>43747</v>
      </c>
      <c r="C284" s="11">
        <f>アイスクリームの売り上げデータ!C284</f>
        <v>20.8</v>
      </c>
      <c r="D284" s="11">
        <f>アイスクリームの売り上げデータ!G284</f>
        <v>196</v>
      </c>
    </row>
    <row r="285" spans="2:4">
      <c r="B285" s="17">
        <f>アイスクリームの売り上げデータ!A285</f>
        <v>43748</v>
      </c>
      <c r="C285" s="11">
        <f>アイスクリームの売り上げデータ!C285</f>
        <v>19.399999999999999</v>
      </c>
      <c r="D285" s="11">
        <f>アイスクリームの売り上げデータ!G285</f>
        <v>154</v>
      </c>
    </row>
    <row r="286" spans="2:4">
      <c r="B286" s="17">
        <f>アイスクリームの売り上げデータ!A286</f>
        <v>43749</v>
      </c>
      <c r="C286" s="11">
        <f>アイスクリームの売り上げデータ!C286</f>
        <v>19.600000000000001</v>
      </c>
      <c r="D286" s="11">
        <f>アイスクリームの売り上げデータ!G286</f>
        <v>150</v>
      </c>
    </row>
    <row r="287" spans="2:4">
      <c r="B287" s="17">
        <f>アイスクリームの売り上げデータ!A287</f>
        <v>43750</v>
      </c>
      <c r="C287" s="11">
        <f>アイスクリームの売り上げデータ!C287</f>
        <v>23.3</v>
      </c>
      <c r="D287" s="11">
        <f>アイスクリームの売り上げデータ!G287</f>
        <v>0</v>
      </c>
    </row>
    <row r="288" spans="2:4">
      <c r="B288" s="17">
        <f>アイスクリームの売り上げデータ!A288</f>
        <v>43751</v>
      </c>
      <c r="C288" s="11">
        <f>アイスクリームの売り上げデータ!C288</f>
        <v>24.5</v>
      </c>
      <c r="D288" s="11">
        <f>アイスクリームの売り上げデータ!G288</f>
        <v>249</v>
      </c>
    </row>
    <row r="289" spans="2:4">
      <c r="B289" s="17">
        <f>アイスクリームの売り上げデータ!A289</f>
        <v>43752</v>
      </c>
      <c r="C289" s="11">
        <f>アイスクリームの売り上げデータ!C289</f>
        <v>17</v>
      </c>
      <c r="D289" s="11">
        <f>アイスクリームの売り上げデータ!G289</f>
        <v>124</v>
      </c>
    </row>
    <row r="290" spans="2:4">
      <c r="B290" s="17">
        <f>アイスクリームの売り上げデータ!A290</f>
        <v>43753</v>
      </c>
      <c r="C290" s="11">
        <f>アイスクリームの売り上げデータ!C290</f>
        <v>18.399999999999999</v>
      </c>
      <c r="D290" s="11">
        <f>アイスクリームの売り上げデータ!G290</f>
        <v>146</v>
      </c>
    </row>
    <row r="291" spans="2:4">
      <c r="B291" s="17">
        <f>アイスクリームの売り上げデータ!A291</f>
        <v>43754</v>
      </c>
      <c r="C291" s="11">
        <f>アイスクリームの売り上げデータ!C291</f>
        <v>16.100000000000001</v>
      </c>
      <c r="D291" s="11">
        <f>アイスクリームの売り上げデータ!G291</f>
        <v>170</v>
      </c>
    </row>
    <row r="292" spans="2:4">
      <c r="B292" s="17">
        <f>アイスクリームの売り上げデータ!A292</f>
        <v>43755</v>
      </c>
      <c r="C292" s="11">
        <f>アイスクリームの売り上げデータ!C292</f>
        <v>16.2</v>
      </c>
      <c r="D292" s="11">
        <f>アイスクリームの売り上げデータ!G292</f>
        <v>147</v>
      </c>
    </row>
    <row r="293" spans="2:4">
      <c r="B293" s="17">
        <f>アイスクリームの売り上げデータ!A293</f>
        <v>43756</v>
      </c>
      <c r="C293" s="11">
        <f>アイスクリームの売り上げデータ!C293</f>
        <v>16.5</v>
      </c>
      <c r="D293" s="11">
        <f>アイスクリームの売り上げデータ!G293</f>
        <v>135</v>
      </c>
    </row>
    <row r="294" spans="2:4">
      <c r="B294" s="17">
        <f>アイスクリームの売り上げデータ!A294</f>
        <v>43757</v>
      </c>
      <c r="C294" s="11">
        <f>アイスクリームの売り上げデータ!C294</f>
        <v>17.399999999999999</v>
      </c>
      <c r="D294" s="11">
        <f>アイスクリームの売り上げデータ!G294</f>
        <v>123</v>
      </c>
    </row>
    <row r="295" spans="2:4">
      <c r="B295" s="17">
        <f>アイスクリームの売り上げデータ!A295</f>
        <v>43758</v>
      </c>
      <c r="C295" s="11">
        <f>アイスクリームの売り上げデータ!C295</f>
        <v>20.100000000000001</v>
      </c>
      <c r="D295" s="11">
        <f>アイスクリームの売り上げデータ!G295</f>
        <v>252</v>
      </c>
    </row>
    <row r="296" spans="2:4">
      <c r="B296" s="17">
        <f>アイスクリームの売り上げデータ!A296</f>
        <v>43759</v>
      </c>
      <c r="C296" s="11">
        <f>アイスクリームの売り上げデータ!C296</f>
        <v>18.2</v>
      </c>
      <c r="D296" s="11">
        <f>アイスクリームの売り上げデータ!G296</f>
        <v>115</v>
      </c>
    </row>
    <row r="297" spans="2:4">
      <c r="B297" s="17">
        <f>アイスクリームの売り上げデータ!A297</f>
        <v>43760</v>
      </c>
      <c r="C297" s="11">
        <f>アイスクリームの売り上げデータ!C297</f>
        <v>15.4</v>
      </c>
      <c r="D297" s="11">
        <f>アイスクリームの売り上げデータ!G297</f>
        <v>84</v>
      </c>
    </row>
    <row r="298" spans="2:4">
      <c r="B298" s="17">
        <f>アイスクリームの売り上げデータ!A298</f>
        <v>43761</v>
      </c>
      <c r="C298" s="11">
        <f>アイスクリームの売り上げデータ!C298</f>
        <v>18.5</v>
      </c>
      <c r="D298" s="11">
        <f>アイスクリームの売り上げデータ!G298</f>
        <v>184</v>
      </c>
    </row>
    <row r="299" spans="2:4">
      <c r="B299" s="17">
        <f>アイスクリームの売り上げデータ!A299</f>
        <v>43762</v>
      </c>
      <c r="C299" s="11">
        <f>アイスクリームの売り上げデータ!C299</f>
        <v>18.100000000000001</v>
      </c>
      <c r="D299" s="11">
        <f>アイスクリームの売り上げデータ!G299</f>
        <v>139</v>
      </c>
    </row>
    <row r="300" spans="2:4">
      <c r="B300" s="17">
        <f>アイスクリームの売り上げデータ!A300</f>
        <v>43763</v>
      </c>
      <c r="C300" s="11">
        <f>アイスクリームの売り上げデータ!C300</f>
        <v>15.1</v>
      </c>
      <c r="D300" s="11">
        <f>アイスクリームの売り上げデータ!G300</f>
        <v>7</v>
      </c>
    </row>
    <row r="301" spans="2:4">
      <c r="B301" s="17">
        <f>アイスクリームの売り上げデータ!A301</f>
        <v>43764</v>
      </c>
      <c r="C301" s="11">
        <f>アイスクリームの売り上げデータ!C301</f>
        <v>18.100000000000001</v>
      </c>
      <c r="D301" s="11">
        <f>アイスクリームの売り上げデータ!G301</f>
        <v>206</v>
      </c>
    </row>
    <row r="302" spans="2:4">
      <c r="B302" s="17">
        <f>アイスクリームの売り上げデータ!A302</f>
        <v>43765</v>
      </c>
      <c r="C302" s="11">
        <f>アイスクリームの売り上げデータ!C302</f>
        <v>18.3</v>
      </c>
      <c r="D302" s="11">
        <f>アイスクリームの売り上げデータ!G302</f>
        <v>249</v>
      </c>
    </row>
    <row r="303" spans="2:4">
      <c r="B303" s="17">
        <f>アイスクリームの売り上げデータ!A303</f>
        <v>43766</v>
      </c>
      <c r="C303" s="11">
        <f>アイスクリームの売り上げデータ!C303</f>
        <v>17.399999999999999</v>
      </c>
      <c r="D303" s="11">
        <f>アイスクリームの売り上げデータ!G303</f>
        <v>132</v>
      </c>
    </row>
    <row r="304" spans="2:4">
      <c r="B304" s="17">
        <f>アイスクリームの売り上げデータ!A304</f>
        <v>43767</v>
      </c>
      <c r="C304" s="11">
        <f>アイスクリームの売り上げデータ!C304</f>
        <v>14.5</v>
      </c>
      <c r="D304" s="11">
        <f>アイスクリームの売り上げデータ!G304</f>
        <v>116</v>
      </c>
    </row>
    <row r="305" spans="2:4">
      <c r="B305" s="17">
        <f>アイスクリームの売り上げデータ!A305</f>
        <v>43768</v>
      </c>
      <c r="C305" s="11">
        <f>アイスクリームの売り上げデータ!C305</f>
        <v>16.5</v>
      </c>
      <c r="D305" s="11">
        <f>アイスクリームの売り上げデータ!G305</f>
        <v>182</v>
      </c>
    </row>
    <row r="306" spans="2:4">
      <c r="B306" s="17">
        <f>アイスクリームの売り上げデータ!A306</f>
        <v>43769</v>
      </c>
      <c r="C306" s="11">
        <f>アイスクリームの売り上げデータ!C306</f>
        <v>16.8</v>
      </c>
      <c r="D306" s="11">
        <f>アイスクリームの売り上げデータ!G306</f>
        <v>146</v>
      </c>
    </row>
    <row r="307" spans="2:4">
      <c r="B307" s="17">
        <f>アイスクリームの売り上げデータ!A307</f>
        <v>43770</v>
      </c>
      <c r="C307" s="11">
        <f>アイスクリームの売り上げデータ!C307</f>
        <v>17.399999999999999</v>
      </c>
      <c r="D307" s="11">
        <f>アイスクリームの売り上げデータ!G307</f>
        <v>153</v>
      </c>
    </row>
    <row r="308" spans="2:4">
      <c r="B308" s="17">
        <f>アイスクリームの売り上げデータ!A308</f>
        <v>43771</v>
      </c>
      <c r="C308" s="11">
        <f>アイスクリームの売り上げデータ!C308</f>
        <v>15.7</v>
      </c>
      <c r="D308" s="11">
        <f>アイスクリームの売り上げデータ!G308</f>
        <v>198</v>
      </c>
    </row>
    <row r="309" spans="2:4">
      <c r="B309" s="17">
        <f>アイスクリームの売り上げデータ!A309</f>
        <v>43772</v>
      </c>
      <c r="C309" s="11">
        <f>アイスクリームの売り上げデータ!C309</f>
        <v>15.8</v>
      </c>
      <c r="D309" s="11">
        <f>アイスクリームの売り上げデータ!G309</f>
        <v>213</v>
      </c>
    </row>
    <row r="310" spans="2:4">
      <c r="B310" s="17">
        <f>アイスクリームの売り上げデータ!A310</f>
        <v>43773</v>
      </c>
      <c r="C310" s="11">
        <f>アイスクリームの売り上げデータ!C310</f>
        <v>14.6</v>
      </c>
      <c r="D310" s="11">
        <f>アイスクリームの売り上げデータ!G310</f>
        <v>115</v>
      </c>
    </row>
    <row r="311" spans="2:4">
      <c r="B311" s="17">
        <f>アイスクリームの売り上げデータ!A311</f>
        <v>43774</v>
      </c>
      <c r="C311" s="11">
        <f>アイスクリームの売り上げデータ!C311</f>
        <v>13.7</v>
      </c>
      <c r="D311" s="11">
        <f>アイスクリームの売り上げデータ!G311</f>
        <v>128</v>
      </c>
    </row>
    <row r="312" spans="2:4">
      <c r="B312" s="17">
        <f>アイスクリームの売り上げデータ!A312</f>
        <v>43775</v>
      </c>
      <c r="C312" s="11">
        <f>アイスクリームの売り上げデータ!C312</f>
        <v>14.3</v>
      </c>
      <c r="D312" s="11">
        <f>アイスクリームの売り上げデータ!G312</f>
        <v>160</v>
      </c>
    </row>
    <row r="313" spans="2:4">
      <c r="B313" s="17">
        <f>アイスクリームの売り上げデータ!A313</f>
        <v>43776</v>
      </c>
      <c r="C313" s="11">
        <f>アイスクリームの売り上げデータ!C313</f>
        <v>16</v>
      </c>
      <c r="D313" s="11">
        <f>アイスクリームの売り上げデータ!G313</f>
        <v>136</v>
      </c>
    </row>
    <row r="314" spans="2:4">
      <c r="B314" s="17">
        <f>アイスクリームの売り上げデータ!A314</f>
        <v>43777</v>
      </c>
      <c r="C314" s="11">
        <f>アイスクリームの売り上げデータ!C314</f>
        <v>15.1</v>
      </c>
      <c r="D314" s="11">
        <f>アイスクリームの売り上げデータ!G314</f>
        <v>132</v>
      </c>
    </row>
    <row r="315" spans="2:4">
      <c r="B315" s="17">
        <f>アイスクリームの売り上げデータ!A315</f>
        <v>43778</v>
      </c>
      <c r="C315" s="11">
        <f>アイスクリームの売り上げデータ!C315</f>
        <v>13.3</v>
      </c>
      <c r="D315" s="11">
        <f>アイスクリームの売り上げデータ!G315</f>
        <v>168</v>
      </c>
    </row>
    <row r="316" spans="2:4">
      <c r="B316" s="17">
        <f>アイスクリームの売り上げデータ!A316</f>
        <v>43779</v>
      </c>
      <c r="C316" s="11">
        <f>アイスクリームの売り上げデータ!C316</f>
        <v>13.9</v>
      </c>
      <c r="D316" s="11">
        <f>アイスクリームの売り上げデータ!G316</f>
        <v>238</v>
      </c>
    </row>
    <row r="317" spans="2:4">
      <c r="B317" s="17">
        <f>アイスクリームの売り上げデータ!A317</f>
        <v>43780</v>
      </c>
      <c r="C317" s="11">
        <f>アイスクリームの売り上げデータ!C317</f>
        <v>12.9</v>
      </c>
      <c r="D317" s="11">
        <f>アイスクリームの売り上げデータ!G317</f>
        <v>113</v>
      </c>
    </row>
    <row r="318" spans="2:4">
      <c r="B318" s="17">
        <f>アイスクリームの売り上げデータ!A318</f>
        <v>43781</v>
      </c>
      <c r="C318" s="11">
        <f>アイスクリームの売り上げデータ!C318</f>
        <v>15.1</v>
      </c>
      <c r="D318" s="11">
        <f>アイスクリームの売り上げデータ!G318</f>
        <v>145</v>
      </c>
    </row>
    <row r="319" spans="2:4">
      <c r="B319" s="17">
        <f>アイスクリームの売り上げデータ!A319</f>
        <v>43782</v>
      </c>
      <c r="C319" s="11">
        <f>アイスクリームの売り上げデータ!C319</f>
        <v>13.3</v>
      </c>
      <c r="D319" s="11">
        <f>アイスクリームの売り上げデータ!G319</f>
        <v>152</v>
      </c>
    </row>
    <row r="320" spans="2:4">
      <c r="B320" s="17">
        <f>アイスクリームの売り上げデータ!A320</f>
        <v>43783</v>
      </c>
      <c r="C320" s="11">
        <f>アイスクリームの売り上げデータ!C320</f>
        <v>16.899999999999999</v>
      </c>
      <c r="D320" s="11">
        <f>アイスクリームの売り上げデータ!G320</f>
        <v>140</v>
      </c>
    </row>
    <row r="321" spans="2:4">
      <c r="B321" s="17">
        <f>アイスクリームの売り上げデータ!A321</f>
        <v>43784</v>
      </c>
      <c r="C321" s="11">
        <f>アイスクリームの売り上げデータ!C321</f>
        <v>12.6</v>
      </c>
      <c r="D321" s="11">
        <f>アイスクリームの売り上げデータ!G321</f>
        <v>136</v>
      </c>
    </row>
    <row r="322" spans="2:4">
      <c r="B322" s="17">
        <f>アイスクリームの売り上げデータ!A322</f>
        <v>43785</v>
      </c>
      <c r="C322" s="11">
        <f>アイスクリームの売り上げデータ!C322</f>
        <v>12.8</v>
      </c>
      <c r="D322" s="11">
        <f>アイスクリームの売り上げデータ!G322</f>
        <v>168</v>
      </c>
    </row>
    <row r="323" spans="2:4">
      <c r="B323" s="17">
        <f>アイスクリームの売り上げデータ!A323</f>
        <v>43786</v>
      </c>
      <c r="C323" s="11">
        <f>アイスクリームの売り上げデータ!C323</f>
        <v>13.4</v>
      </c>
      <c r="D323" s="11">
        <f>アイスクリームの売り上げデータ!G323</f>
        <v>226</v>
      </c>
    </row>
    <row r="324" spans="2:4">
      <c r="B324" s="17">
        <f>アイスクリームの売り上げデータ!A324</f>
        <v>43787</v>
      </c>
      <c r="C324" s="11">
        <f>アイスクリームの売り上げデータ!C324</f>
        <v>16.100000000000001</v>
      </c>
      <c r="D324" s="11">
        <f>アイスクリームの売り上げデータ!G324</f>
        <v>114</v>
      </c>
    </row>
    <row r="325" spans="2:4">
      <c r="B325" s="17">
        <f>アイスクリームの売り上げデータ!A325</f>
        <v>43788</v>
      </c>
      <c r="C325" s="11">
        <f>アイスクリームの売り上げデータ!C325</f>
        <v>15.8</v>
      </c>
      <c r="D325" s="11">
        <f>アイスクリームの売り上げデータ!G325</f>
        <v>152</v>
      </c>
    </row>
    <row r="326" spans="2:4">
      <c r="B326" s="17">
        <f>アイスクリームの売り上げデータ!A326</f>
        <v>43789</v>
      </c>
      <c r="C326" s="11">
        <f>アイスクリームの売り上げデータ!C326</f>
        <v>12</v>
      </c>
      <c r="D326" s="11">
        <f>アイスクリームの売り上げデータ!G326</f>
        <v>166</v>
      </c>
    </row>
    <row r="327" spans="2:4">
      <c r="B327" s="17">
        <f>アイスクリームの売り上げデータ!A327</f>
        <v>43790</v>
      </c>
      <c r="C327" s="11">
        <f>アイスクリームの売り上げデータ!C327</f>
        <v>11.3</v>
      </c>
      <c r="D327" s="11">
        <f>アイスクリームの売り上げデータ!G327</f>
        <v>134</v>
      </c>
    </row>
    <row r="328" spans="2:4">
      <c r="B328" s="17">
        <f>アイスクリームの売り上げデータ!A328</f>
        <v>43791</v>
      </c>
      <c r="C328" s="11">
        <f>アイスクリームの売り上げデータ!C328</f>
        <v>8.1</v>
      </c>
      <c r="D328" s="11">
        <f>アイスクリームの売り上げデータ!G328</f>
        <v>62</v>
      </c>
    </row>
    <row r="329" spans="2:4">
      <c r="B329" s="17">
        <f>アイスクリームの売り上げデータ!A329</f>
        <v>43792</v>
      </c>
      <c r="C329" s="11">
        <f>アイスクリームの売り上げデータ!C329</f>
        <v>11.3</v>
      </c>
      <c r="D329" s="11">
        <f>アイスクリームの売り上げデータ!G329</f>
        <v>117</v>
      </c>
    </row>
    <row r="330" spans="2:4">
      <c r="B330" s="17">
        <f>アイスクリームの売り上げデータ!A330</f>
        <v>43793</v>
      </c>
      <c r="C330" s="11">
        <f>アイスクリームの売り上げデータ!C330</f>
        <v>15.9</v>
      </c>
      <c r="D330" s="11">
        <f>アイスクリームの売り上げデータ!G330</f>
        <v>226</v>
      </c>
    </row>
    <row r="331" spans="2:4">
      <c r="B331" s="17">
        <f>アイスクリームの売り上げデータ!A331</f>
        <v>43794</v>
      </c>
      <c r="C331" s="11">
        <f>アイスクリームの売り上げデータ!C331</f>
        <v>16.600000000000001</v>
      </c>
      <c r="D331" s="11">
        <f>アイスクリームの売り上げデータ!G331</f>
        <v>128</v>
      </c>
    </row>
    <row r="332" spans="2:4">
      <c r="B332" s="17">
        <f>アイスクリームの売り上げデータ!A332</f>
        <v>43795</v>
      </c>
      <c r="C332" s="11">
        <f>アイスクリームの売り上げデータ!C332</f>
        <v>8.8000000000000007</v>
      </c>
      <c r="D332" s="11">
        <f>アイスクリームの売り上げデータ!G332</f>
        <v>113</v>
      </c>
    </row>
    <row r="333" spans="2:4">
      <c r="B333" s="17">
        <f>アイスクリームの売り上げデータ!A333</f>
        <v>43796</v>
      </c>
      <c r="C333" s="11">
        <f>アイスクリームの売り上げデータ!C333</f>
        <v>9.3000000000000007</v>
      </c>
      <c r="D333" s="11">
        <f>アイスクリームの売り上げデータ!G333</f>
        <v>128</v>
      </c>
    </row>
    <row r="334" spans="2:4">
      <c r="B334" s="17">
        <f>アイスクリームの売り上げデータ!A334</f>
        <v>43797</v>
      </c>
      <c r="C334" s="11">
        <f>アイスクリームの売り上げデータ!C334</f>
        <v>8.5</v>
      </c>
      <c r="D334" s="11">
        <f>アイスクリームの売り上げデータ!G334</f>
        <v>109</v>
      </c>
    </row>
    <row r="335" spans="2:4">
      <c r="B335" s="17">
        <f>アイスクリームの売り上げデータ!A335</f>
        <v>43798</v>
      </c>
      <c r="C335" s="11">
        <f>アイスクリームの売り上げデータ!C335</f>
        <v>5.2</v>
      </c>
      <c r="D335" s="11">
        <f>アイスクリームの売り上げデータ!G335</f>
        <v>96</v>
      </c>
    </row>
    <row r="336" spans="2:4">
      <c r="B336" s="17">
        <f>アイスクリームの売り上げデータ!A336</f>
        <v>43799</v>
      </c>
      <c r="C336" s="11">
        <f>アイスクリームの売り上げデータ!C336</f>
        <v>7.3</v>
      </c>
      <c r="D336" s="11">
        <f>アイスクリームの売り上げデータ!G336</f>
        <v>143</v>
      </c>
    </row>
    <row r="337" spans="2:4">
      <c r="B337" s="17">
        <f>アイスクリームの売り上げデータ!A337</f>
        <v>43800</v>
      </c>
      <c r="C337" s="11">
        <f>アイスクリームの売り上げデータ!C337</f>
        <v>7.4</v>
      </c>
      <c r="D337" s="11">
        <f>アイスクリームの売り上げデータ!G337</f>
        <v>211</v>
      </c>
    </row>
    <row r="338" spans="2:4">
      <c r="B338" s="17">
        <f>アイスクリームの売り上げデータ!A338</f>
        <v>43801</v>
      </c>
      <c r="C338" s="11">
        <f>アイスクリームの売り上げデータ!C338</f>
        <v>9.5</v>
      </c>
      <c r="D338" s="11">
        <f>アイスクリームの売り上げデータ!G338</f>
        <v>60</v>
      </c>
    </row>
    <row r="339" spans="2:4">
      <c r="B339" s="17">
        <f>アイスクリームの売り上げデータ!A339</f>
        <v>43802</v>
      </c>
      <c r="C339" s="11">
        <f>アイスクリームの売り上げデータ!C339</f>
        <v>11.8</v>
      </c>
      <c r="D339" s="11">
        <f>アイスクリームの売り上げデータ!G339</f>
        <v>129</v>
      </c>
    </row>
    <row r="340" spans="2:4">
      <c r="B340" s="17">
        <f>アイスクリームの売り上げデータ!A340</f>
        <v>43803</v>
      </c>
      <c r="C340" s="11">
        <f>アイスクリームの売り上げデータ!C340</f>
        <v>10.199999999999999</v>
      </c>
      <c r="D340" s="11">
        <f>アイスクリームの売り上げデータ!G340</f>
        <v>162</v>
      </c>
    </row>
    <row r="341" spans="2:4">
      <c r="B341" s="17">
        <f>アイスクリームの売り上げデータ!A341</f>
        <v>43804</v>
      </c>
      <c r="C341" s="11">
        <f>アイスクリームの売り上げデータ!C341</f>
        <v>9.6</v>
      </c>
      <c r="D341" s="11">
        <f>アイスクリームの売り上げデータ!G341</f>
        <v>115</v>
      </c>
    </row>
    <row r="342" spans="2:4">
      <c r="B342" s="17">
        <f>アイスクリームの売り上げデータ!A342</f>
        <v>43805</v>
      </c>
      <c r="C342" s="11">
        <f>アイスクリームの売り上げデータ!C342</f>
        <v>8</v>
      </c>
      <c r="D342" s="11">
        <f>アイスクリームの売り上げデータ!G342</f>
        <v>112</v>
      </c>
    </row>
    <row r="343" spans="2:4">
      <c r="B343" s="17">
        <f>アイスクリームの売り上げデータ!A343</f>
        <v>43806</v>
      </c>
      <c r="C343" s="11">
        <f>アイスクリームの売り上げデータ!C343</f>
        <v>5.5</v>
      </c>
      <c r="D343" s="11">
        <f>アイスクリームの売り上げデータ!G343</f>
        <v>143</v>
      </c>
    </row>
    <row r="344" spans="2:4">
      <c r="B344" s="17">
        <f>アイスクリームの売り上げデータ!A344</f>
        <v>43807</v>
      </c>
      <c r="C344" s="11">
        <f>アイスクリームの売り上げデータ!C344</f>
        <v>7.4</v>
      </c>
      <c r="D344" s="11">
        <f>アイスクリームの売り上げデータ!G344</f>
        <v>196</v>
      </c>
    </row>
    <row r="345" spans="2:4">
      <c r="B345" s="17">
        <f>アイスクリームの売り上げデータ!A345</f>
        <v>43808</v>
      </c>
      <c r="C345" s="11">
        <f>アイスクリームの売り上げデータ!C345</f>
        <v>6.4</v>
      </c>
      <c r="D345" s="11">
        <f>アイスクリームの売り上げデータ!G345</f>
        <v>80</v>
      </c>
    </row>
    <row r="346" spans="2:4">
      <c r="B346" s="17">
        <f>アイスクリームの売り上げデータ!A346</f>
        <v>43809</v>
      </c>
      <c r="C346" s="11">
        <f>アイスクリームの売り上げデータ!C346</f>
        <v>10.199999999999999</v>
      </c>
      <c r="D346" s="11">
        <f>アイスクリームの売り上げデータ!G346</f>
        <v>113</v>
      </c>
    </row>
    <row r="347" spans="2:4">
      <c r="B347" s="17">
        <f>アイスクリームの売り上げデータ!A347</f>
        <v>43810</v>
      </c>
      <c r="C347" s="11">
        <f>アイスクリームの売り上げデータ!C347</f>
        <v>11.7</v>
      </c>
      <c r="D347" s="11">
        <f>アイスクリームの売り上げデータ!G347</f>
        <v>156</v>
      </c>
    </row>
    <row r="348" spans="2:4">
      <c r="B348" s="17">
        <f>アイスクリームの売り上げデータ!A348</f>
        <v>43811</v>
      </c>
      <c r="C348" s="11">
        <f>アイスクリームの売り上げデータ!C348</f>
        <v>11.7</v>
      </c>
      <c r="D348" s="11">
        <f>アイスクリームの売り上げデータ!G348</f>
        <v>144</v>
      </c>
    </row>
    <row r="349" spans="2:4">
      <c r="B349" s="17">
        <f>アイスクリームの売り上げデータ!A349</f>
        <v>43812</v>
      </c>
      <c r="C349" s="11">
        <f>アイスクリームの売り上げデータ!C349</f>
        <v>7.5</v>
      </c>
      <c r="D349" s="11">
        <f>アイスクリームの売り上げデータ!G349</f>
        <v>108</v>
      </c>
    </row>
    <row r="350" spans="2:4">
      <c r="B350" s="17">
        <f>アイスクリームの売り上げデータ!A350</f>
        <v>43813</v>
      </c>
      <c r="C350" s="11">
        <f>アイスクリームの売り上げデータ!C350</f>
        <v>9.4</v>
      </c>
      <c r="D350" s="11">
        <f>アイスクリームの売り上げデータ!G350</f>
        <v>169</v>
      </c>
    </row>
    <row r="351" spans="2:4">
      <c r="B351" s="17">
        <f>アイスクリームの売り上げデータ!A351</f>
        <v>43814</v>
      </c>
      <c r="C351" s="11">
        <f>アイスクリームの売り上げデータ!C351</f>
        <v>8.6999999999999993</v>
      </c>
      <c r="D351" s="11">
        <f>アイスクリームの売り上げデータ!G351</f>
        <v>212</v>
      </c>
    </row>
    <row r="352" spans="2:4">
      <c r="B352" s="17">
        <f>アイスクリームの売り上げデータ!A352</f>
        <v>43815</v>
      </c>
      <c r="C352" s="11">
        <f>アイスクリームの売り上げデータ!C352</f>
        <v>7.8</v>
      </c>
      <c r="D352" s="11">
        <f>アイスクリームの売り上げデータ!G352</f>
        <v>83</v>
      </c>
    </row>
    <row r="353" spans="2:4">
      <c r="B353" s="17">
        <f>アイスクリームの売り上げデータ!A353</f>
        <v>43816</v>
      </c>
      <c r="C353" s="11">
        <f>アイスクリームの売り上げデータ!C353</f>
        <v>8.1999999999999993</v>
      </c>
      <c r="D353" s="11">
        <f>アイスクリームの売り上げデータ!G353</f>
        <v>126</v>
      </c>
    </row>
    <row r="354" spans="2:4">
      <c r="B354" s="17">
        <f>アイスクリームの売り上げデータ!A354</f>
        <v>43817</v>
      </c>
      <c r="C354" s="11">
        <f>アイスクリームの売り上げデータ!C354</f>
        <v>11.1</v>
      </c>
      <c r="D354" s="11">
        <f>アイスクリームの売り上げデータ!G354</f>
        <v>151</v>
      </c>
    </row>
    <row r="355" spans="2:4">
      <c r="B355" s="17">
        <f>アイスクリームの売り上げデータ!A355</f>
        <v>43818</v>
      </c>
      <c r="C355" s="11">
        <f>アイスクリームの売り上げデータ!C355</f>
        <v>9</v>
      </c>
      <c r="D355" s="11">
        <f>アイスクリームの売り上げデータ!G355</f>
        <v>121</v>
      </c>
    </row>
    <row r="356" spans="2:4">
      <c r="B356" s="17">
        <f>アイスクリームの売り上げデータ!A356</f>
        <v>43819</v>
      </c>
      <c r="C356" s="11">
        <f>アイスクリームの売り上げデータ!C356</f>
        <v>10.6</v>
      </c>
      <c r="D356" s="11">
        <f>アイスクリームの売り上げデータ!G356</f>
        <v>128</v>
      </c>
    </row>
    <row r="357" spans="2:4">
      <c r="B357" s="17">
        <f>アイスクリームの売り上げデータ!A357</f>
        <v>43820</v>
      </c>
      <c r="C357" s="11">
        <f>アイスクリームの売り上げデータ!C357</f>
        <v>8.1</v>
      </c>
      <c r="D357" s="11">
        <f>アイスクリームの売り上げデータ!G357</f>
        <v>165</v>
      </c>
    </row>
    <row r="358" spans="2:4">
      <c r="B358" s="17">
        <f>アイスクリームの売り上げデータ!A358</f>
        <v>43821</v>
      </c>
      <c r="C358" s="11">
        <f>アイスクリームの売り上げデータ!C358</f>
        <v>6.8</v>
      </c>
      <c r="D358" s="11">
        <f>アイスクリームの売り上げデータ!G358</f>
        <v>157</v>
      </c>
    </row>
    <row r="359" spans="2:4">
      <c r="B359" s="17">
        <f>アイスクリームの売り上げデータ!A359</f>
        <v>43822</v>
      </c>
      <c r="C359" s="11">
        <f>アイスクリームの売り上げデータ!C359</f>
        <v>6.8</v>
      </c>
      <c r="D359" s="11">
        <f>アイスクリームの売り上げデータ!G359</f>
        <v>77</v>
      </c>
    </row>
    <row r="360" spans="2:4">
      <c r="B360" s="17">
        <f>アイスクリームの売り上げデータ!A360</f>
        <v>43823</v>
      </c>
      <c r="C360" s="11">
        <f>アイスクリームの売り上げデータ!C360</f>
        <v>8.1999999999999993</v>
      </c>
      <c r="D360" s="11">
        <f>アイスクリームの売り上げデータ!G360</f>
        <v>120</v>
      </c>
    </row>
    <row r="361" spans="2:4">
      <c r="B361" s="17">
        <f>アイスクリームの売り上げデータ!A361</f>
        <v>43824</v>
      </c>
      <c r="C361" s="11">
        <f>アイスクリームの売り上げデータ!C361</f>
        <v>5.9</v>
      </c>
      <c r="D361" s="11">
        <f>アイスクリームの売り上げデータ!G361</f>
        <v>143</v>
      </c>
    </row>
    <row r="362" spans="2:4">
      <c r="B362" s="17">
        <f>アイスクリームの売り上げデータ!A362</f>
        <v>43825</v>
      </c>
      <c r="C362" s="11">
        <f>アイスクリームの売り上げデータ!C362</f>
        <v>7.8</v>
      </c>
      <c r="D362" s="11">
        <f>アイスクリームの売り上げデータ!G362</f>
        <v>107</v>
      </c>
    </row>
    <row r="363" spans="2:4">
      <c r="B363" s="17">
        <f>アイスクリームの売り上げデータ!A363</f>
        <v>43826</v>
      </c>
      <c r="C363" s="11">
        <f>アイスクリームの売り上げデータ!C363</f>
        <v>8.6999999999999993</v>
      </c>
      <c r="D363" s="11">
        <f>アイスクリームの売り上げデータ!G363</f>
        <v>125</v>
      </c>
    </row>
    <row r="364" spans="2:4">
      <c r="B364" s="17">
        <f>アイスクリームの売り上げデータ!A364</f>
        <v>43827</v>
      </c>
      <c r="C364" s="11">
        <f>アイスクリームの売り上げデータ!C364</f>
        <v>6.8</v>
      </c>
      <c r="D364" s="11">
        <f>アイスクリームの売り上げデータ!G364</f>
        <v>168</v>
      </c>
    </row>
    <row r="365" spans="2:4">
      <c r="B365" s="17">
        <f>アイスクリームの売り上げデータ!A365</f>
        <v>43828</v>
      </c>
      <c r="C365" s="11">
        <f>アイスクリームの売り上げデータ!C365</f>
        <v>7</v>
      </c>
      <c r="D365" s="11">
        <f>アイスクリームの売り上げデータ!G365</f>
        <v>199</v>
      </c>
    </row>
    <row r="366" spans="2:4">
      <c r="B366" s="17">
        <f>アイスクリームの売り上げデータ!A366</f>
        <v>43829</v>
      </c>
      <c r="C366" s="11">
        <f>アイスクリームの売り上げデータ!C366</f>
        <v>6.7</v>
      </c>
      <c r="D366" s="11">
        <f>アイスクリームの売り上げデータ!G366</f>
        <v>88</v>
      </c>
    </row>
    <row r="367" spans="2:4">
      <c r="B367" s="17">
        <f>アイスクリームの売り上げデータ!A367</f>
        <v>43830</v>
      </c>
      <c r="C367" s="11">
        <f>アイスクリームの売り上げデータ!C367</f>
        <v>8.1999999999999993</v>
      </c>
      <c r="D367" s="11">
        <f>アイスクリームの売り上げデータ!G367</f>
        <v>117</v>
      </c>
    </row>
  </sheetData>
  <phoneticPr fontId="4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1A4B-7FE1-DA40-A4D5-94AE13910662}">
  <dimension ref="B2:M367"/>
  <sheetViews>
    <sheetView tabSelected="1" workbookViewId="0">
      <selection activeCell="L11" sqref="L11"/>
    </sheetView>
  </sheetViews>
  <sheetFormatPr baseColWidth="10" defaultRowHeight="16"/>
  <cols>
    <col min="9" max="10" width="11" bestFit="1" customWidth="1"/>
    <col min="13" max="13" width="12" bestFit="1" customWidth="1"/>
  </cols>
  <sheetData>
    <row r="2" spans="2:13" ht="34">
      <c r="C2" s="20" t="s">
        <v>52</v>
      </c>
      <c r="D2" s="3" t="s">
        <v>2</v>
      </c>
      <c r="E2" s="3" t="s">
        <v>4</v>
      </c>
      <c r="F2" s="3" t="s">
        <v>6</v>
      </c>
      <c r="G2" s="3" t="s">
        <v>8</v>
      </c>
      <c r="H2" s="3" t="s">
        <v>10</v>
      </c>
      <c r="I2" s="14" t="s">
        <v>77</v>
      </c>
      <c r="J2" s="14" t="s">
        <v>78</v>
      </c>
    </row>
    <row r="3" spans="2:13">
      <c r="B3" s="4">
        <v>43466</v>
      </c>
      <c r="C3">
        <f>IF(OR(アイスクリームの売り上げデータ!B3=1,アイスクリームの売り上げデータ!B3=7),1,0)</f>
        <v>0</v>
      </c>
      <c r="D3">
        <f>アイスクリームの売り上げデータ!C3</f>
        <v>5.3</v>
      </c>
      <c r="E3">
        <f>アイスクリームの売り上げデータ!D3</f>
        <v>10.7</v>
      </c>
      <c r="F3">
        <f>アイスクリームの売り上げデータ!E3</f>
        <v>0.9</v>
      </c>
      <c r="G3">
        <f>アイスクリームの売り上げデータ!F3</f>
        <v>0</v>
      </c>
      <c r="H3">
        <f>アイスクリームの売り上げデータ!G3</f>
        <v>101</v>
      </c>
      <c r="I3">
        <f>重回帰の係数!$B$18*重回帰分析!C3+重回帰の係数!$B$19*重回帰分析!D3+重回帰の係数!$B$20*重回帰分析!E3+重回帰の係数!$B$21*重回帰分析!F3+重回帰の係数!$B$22*重回帰分析!G3+重回帰の係数!$B$17</f>
        <v>106.39493304037579</v>
      </c>
      <c r="J3">
        <f>ABS(H3-I3)</f>
        <v>5.3949330403757898</v>
      </c>
    </row>
    <row r="4" spans="2:13" ht="17">
      <c r="B4" s="7">
        <v>43467</v>
      </c>
      <c r="C4">
        <f>IF(OR(アイスクリームの売り上げデータ!B4=1,アイスクリームの売り上げデータ!B4=7),1,0)</f>
        <v>0</v>
      </c>
      <c r="D4">
        <f>アイスクリームの売り上げデータ!C4</f>
        <v>6.2</v>
      </c>
      <c r="E4">
        <f>アイスクリームの売り上げデータ!D4</f>
        <v>10.9</v>
      </c>
      <c r="F4">
        <f>アイスクリームの売り上げデータ!E4</f>
        <v>2.2000000000000002</v>
      </c>
      <c r="G4">
        <f>アイスクリームの売り上げデータ!F4</f>
        <v>0</v>
      </c>
      <c r="H4">
        <f>アイスクリームの売り上げデータ!G4</f>
        <v>119</v>
      </c>
      <c r="I4">
        <f>重回帰の係数!$B$18*重回帰分析!C4+重回帰の係数!$B$19*重回帰分析!D4+重回帰の係数!$B$20*重回帰分析!E4+重回帰の係数!$B$21*重回帰分析!F4+重回帰の係数!$B$22*重回帰分析!G4+重回帰の係数!$B$17</f>
        <v>109.50386917470138</v>
      </c>
      <c r="J4">
        <f t="shared" ref="J4:J67" si="0">ABS(H4-I4)</f>
        <v>9.4961308252986214</v>
      </c>
      <c r="L4" s="14" t="s">
        <v>79</v>
      </c>
      <c r="M4">
        <f>AVERAGE(J3:J367)</f>
        <v>14.264363606403755</v>
      </c>
    </row>
    <row r="5" spans="2:13">
      <c r="B5" s="7">
        <v>43468</v>
      </c>
      <c r="C5">
        <f>IF(OR(アイスクリームの売り上げデータ!B5=1,アイスクリームの売り上げデータ!B5=7),1,0)</f>
        <v>0</v>
      </c>
      <c r="D5">
        <f>アイスクリームの売り上げデータ!C5</f>
        <v>4.9000000000000004</v>
      </c>
      <c r="E5">
        <f>アイスクリームの売り上げデータ!D5</f>
        <v>10.9</v>
      </c>
      <c r="F5">
        <f>アイスクリームの売り上げデータ!E5</f>
        <v>-0.3</v>
      </c>
      <c r="G5">
        <f>アイスクリームの売り上げデータ!F5</f>
        <v>0</v>
      </c>
      <c r="H5">
        <f>アイスクリームの売り上げデータ!G5</f>
        <v>98</v>
      </c>
      <c r="I5">
        <f>重回帰の係数!$B$18*重回帰分析!C5+重回帰の係数!$B$19*重回帰分析!D5+重回帰の係数!$B$20*重回帰分析!E5+重回帰の係数!$B$21*重回帰分析!F5+重回帰の係数!$B$22*重回帰分析!G5+重回帰の係数!$B$17</f>
        <v>104.70398379693277</v>
      </c>
      <c r="J5">
        <f t="shared" si="0"/>
        <v>6.7039837969327749</v>
      </c>
    </row>
    <row r="6" spans="2:13">
      <c r="B6" s="7">
        <v>43469</v>
      </c>
      <c r="C6">
        <f>IF(OR(アイスクリームの売り上げデータ!B6=1,アイスクリームの売り上げデータ!B6=7),1,0)</f>
        <v>0</v>
      </c>
      <c r="D6">
        <f>アイスクリームの売り上げデータ!C6</f>
        <v>5.0999999999999996</v>
      </c>
      <c r="E6">
        <f>アイスクリームの売り上げデータ!D6</f>
        <v>9.8000000000000007</v>
      </c>
      <c r="F6">
        <f>アイスクリームの売り上げデータ!E6</f>
        <v>0.2</v>
      </c>
      <c r="G6">
        <f>アイスクリームの売り上げデータ!F6</f>
        <v>0</v>
      </c>
      <c r="H6">
        <f>アイスクリームの売り上げデータ!G6</f>
        <v>106</v>
      </c>
      <c r="I6">
        <f>重回帰の係数!$B$18*重回帰分析!C6+重回帰の係数!$B$19*重回帰分析!D6+重回帰の係数!$B$20*重回帰分析!E6+重回帰の係数!$B$21*重回帰分析!F6+重回帰の係数!$B$22*重回帰分析!G6+重回帰の係数!$B$17</f>
        <v>104.79284713416567</v>
      </c>
      <c r="J6">
        <f t="shared" si="0"/>
        <v>1.2071528658343311</v>
      </c>
    </row>
    <row r="7" spans="2:13">
      <c r="B7" s="7">
        <v>43470</v>
      </c>
      <c r="C7">
        <f>IF(OR(アイスクリームの売り上げデータ!B7=1,アイスクリームの売り上げデータ!B7=7),1,0)</f>
        <v>1</v>
      </c>
      <c r="D7">
        <f>アイスクリームの売り上げデータ!C7</f>
        <v>7.4</v>
      </c>
      <c r="E7">
        <f>アイスクリームの売り上げデータ!D7</f>
        <v>14</v>
      </c>
      <c r="F7">
        <f>アイスクリームの売り上げデータ!E7</f>
        <v>0.9</v>
      </c>
      <c r="G7">
        <f>アイスクリームの売り上げデータ!F7</f>
        <v>0</v>
      </c>
      <c r="H7">
        <f>アイスクリームの売り上げデータ!G7</f>
        <v>174</v>
      </c>
      <c r="I7">
        <f>重回帰の係数!$B$18*重回帰分析!C7+重回帰の係数!$B$19*重回帰分析!D7+重回帰の係数!$B$20*重回帰分析!E7+重回帰の係数!$B$21*重回帰分析!F7+重回帰の係数!$B$22*重回帰分析!G7+重回帰の係数!$B$17</f>
        <v>177.51042039168487</v>
      </c>
      <c r="J7">
        <f t="shared" si="0"/>
        <v>3.5104203916848746</v>
      </c>
    </row>
    <row r="8" spans="2:13">
      <c r="B8" s="7">
        <v>43471</v>
      </c>
      <c r="C8">
        <f>IF(OR(アイスクリームの売り上げデータ!B8=1,アイスクリームの売り上げデータ!B8=7),1,0)</f>
        <v>1</v>
      </c>
      <c r="D8">
        <f>アイスクリームの売り上げデータ!C8</f>
        <v>5.3</v>
      </c>
      <c r="E8">
        <f>アイスクリームの売り上げデータ!D8</f>
        <v>8</v>
      </c>
      <c r="F8">
        <f>アイスクリームの売り上げデータ!E8</f>
        <v>2.4</v>
      </c>
      <c r="G8">
        <f>アイスクリームの売り上げデータ!F8</f>
        <v>0</v>
      </c>
      <c r="H8">
        <f>アイスクリームの売り上げデータ!G8</f>
        <v>206</v>
      </c>
      <c r="I8">
        <f>重回帰の係数!$B$18*重回帰分析!C8+重回帰の係数!$B$19*重回帰分析!D8+重回帰の係数!$B$20*重回帰分析!E8+重回帰の係数!$B$21*重回帰分析!F8+重回帰の係数!$B$22*重回帰分析!G8+重回帰の係数!$B$17</f>
        <v>170.1927945235762</v>
      </c>
      <c r="J8">
        <f t="shared" si="0"/>
        <v>35.807205476423803</v>
      </c>
    </row>
    <row r="9" spans="2:13">
      <c r="B9" s="7">
        <v>43472</v>
      </c>
      <c r="C9">
        <f>IF(OR(アイスクリームの売り上げデータ!B9=1,アイスクリームの売り上げデータ!B9=7),1,0)</f>
        <v>0</v>
      </c>
      <c r="D9">
        <f>アイスクリームの売り上げデータ!C9</f>
        <v>5.4</v>
      </c>
      <c r="E9">
        <f>アイスクリームの売り上げデータ!D9</f>
        <v>10.6</v>
      </c>
      <c r="F9">
        <f>アイスクリームの売り上げデータ!E9</f>
        <v>0.4</v>
      </c>
      <c r="G9">
        <f>アイスクリームの売り上げデータ!F9</f>
        <v>0</v>
      </c>
      <c r="H9">
        <f>アイスクリームの売り上げデータ!G9</f>
        <v>90</v>
      </c>
      <c r="I9">
        <f>重回帰の係数!$B$18*重回帰分析!C9+重回帰の係数!$B$19*重回帰分析!D9+重回帰の係数!$B$20*重回帰分析!E9+重回帰の係数!$B$21*重回帰分析!F9+重回帰の係数!$B$22*重回帰分析!G9+重回帰の係数!$B$17</f>
        <v>106.13543015310131</v>
      </c>
      <c r="J9">
        <f t="shared" si="0"/>
        <v>16.135430153101311</v>
      </c>
    </row>
    <row r="10" spans="2:13">
      <c r="B10" s="7">
        <v>43473</v>
      </c>
      <c r="C10">
        <f>IF(OR(アイスクリームの売り上げデータ!B10=1,アイスクリームの売り上げデータ!B10=7),1,0)</f>
        <v>0</v>
      </c>
      <c r="D10">
        <f>アイスクリームの売り上げデータ!C10</f>
        <v>4.5999999999999996</v>
      </c>
      <c r="E10">
        <f>アイスクリームの売り上げデータ!D10</f>
        <v>9.8000000000000007</v>
      </c>
      <c r="F10">
        <f>アイスクリームの売り上げデータ!E10</f>
        <v>0.7</v>
      </c>
      <c r="G10">
        <f>アイスクリームの売り上げデータ!F10</f>
        <v>0</v>
      </c>
      <c r="H10">
        <f>アイスクリームの売り上げデータ!G10</f>
        <v>110</v>
      </c>
      <c r="I10">
        <f>重回帰の係数!$B$18*重回帰分析!C10+重回帰の係数!$B$19*重回帰分析!D10+重回帰の係数!$B$20*重回帰分析!E10+重回帰の係数!$B$21*重回帰分析!F10+重回帰の係数!$B$22*重回帰分析!G10+重回帰の係数!$B$17</f>
        <v>104.13142852436162</v>
      </c>
      <c r="J10">
        <f t="shared" si="0"/>
        <v>5.868571475638376</v>
      </c>
    </row>
    <row r="11" spans="2:13">
      <c r="B11" s="7">
        <v>43474</v>
      </c>
      <c r="C11">
        <f>IF(OR(アイスクリームの売り上げデータ!B11=1,アイスクリームの売り上げデータ!B11=7),1,0)</f>
        <v>0</v>
      </c>
      <c r="D11">
        <f>アイスクリームの売り上げデータ!C11</f>
        <v>4.5</v>
      </c>
      <c r="E11">
        <f>アイスクリームの売り上げデータ!D11</f>
        <v>8</v>
      </c>
      <c r="F11">
        <f>アイスクリームの売り上げデータ!E11</f>
        <v>1</v>
      </c>
      <c r="G11">
        <f>アイスクリームの売り上げデータ!F11</f>
        <v>0</v>
      </c>
      <c r="H11">
        <f>アイスクリームの売り上げデータ!G11</f>
        <v>117</v>
      </c>
      <c r="I11">
        <f>重回帰の係数!$B$18*重回帰分析!C11+重回帰の係数!$B$19*重回帰分析!D11+重回帰の係数!$B$20*重回帰分析!E11+重回帰の係数!$B$21*重回帰分析!F11+重回帰の係数!$B$22*重回帰分析!G11+重回帰の係数!$B$17</f>
        <v>102.94526418954914</v>
      </c>
      <c r="J11">
        <f t="shared" si="0"/>
        <v>14.054735810450865</v>
      </c>
    </row>
    <row r="12" spans="2:13">
      <c r="B12" s="7">
        <v>43475</v>
      </c>
      <c r="C12">
        <f>IF(OR(アイスクリームの売り上げデータ!B12=1,アイスクリームの売り上げデータ!B12=7),1,0)</f>
        <v>0</v>
      </c>
      <c r="D12">
        <f>アイスクリームの売り上げデータ!C12</f>
        <v>2</v>
      </c>
      <c r="E12">
        <f>アイスクリームの売り上げデータ!D12</f>
        <v>5.2</v>
      </c>
      <c r="F12">
        <f>アイスクリームの売り上げデータ!E12</f>
        <v>-1.2</v>
      </c>
      <c r="G12">
        <f>アイスクリームの売り上げデータ!F12</f>
        <v>0</v>
      </c>
      <c r="H12">
        <f>アイスクリームの売り上げデータ!G12</f>
        <v>104</v>
      </c>
      <c r="I12">
        <f>重回帰の係数!$B$18*重回帰分析!C12+重回帰の係数!$B$19*重回帰分析!D12+重回帰の係数!$B$20*重回帰分析!E12+重回帰の係数!$B$21*重回帰分析!F12+重回帰の係数!$B$22*重回帰分析!G12+重回帰の係数!$B$17</f>
        <v>93.936904095047865</v>
      </c>
      <c r="J12">
        <f t="shared" si="0"/>
        <v>10.063095904952135</v>
      </c>
    </row>
    <row r="13" spans="2:13">
      <c r="B13" s="7">
        <v>43476</v>
      </c>
      <c r="C13">
        <f>IF(OR(アイスクリームの売り上げデータ!B13=1,アイスクリームの売り上げデータ!B13=7),1,0)</f>
        <v>0</v>
      </c>
      <c r="D13">
        <f>アイスクリームの売り上げデータ!C13</f>
        <v>6.4</v>
      </c>
      <c r="E13">
        <f>アイスクリームの売り上げデータ!D13</f>
        <v>12.2</v>
      </c>
      <c r="F13">
        <f>アイスクリームの売り上げデータ!E13</f>
        <v>-0.2</v>
      </c>
      <c r="G13">
        <f>アイスクリームの売り上げデータ!F13</f>
        <v>0</v>
      </c>
      <c r="H13">
        <f>アイスクリームの売り上げデータ!G13</f>
        <v>117</v>
      </c>
      <c r="I13">
        <f>重回帰の係数!$B$18*重回帰分析!C13+重回帰の係数!$B$19*重回帰分析!D13+重回帰の係数!$B$20*重回帰分析!E13+重回帰の係数!$B$21*重回帰分析!F13+重回帰の係数!$B$22*重回帰分析!G13+重回帰の係数!$B$17</f>
        <v>108.8633841852982</v>
      </c>
      <c r="J13">
        <f t="shared" si="0"/>
        <v>8.1366158147017984</v>
      </c>
    </row>
    <row r="14" spans="2:13">
      <c r="B14" s="7">
        <v>43477</v>
      </c>
      <c r="C14">
        <f>IF(OR(アイスクリームの売り上げデータ!B14=1,アイスクリームの売り上げデータ!B14=7),1,0)</f>
        <v>1</v>
      </c>
      <c r="D14">
        <f>アイスクリームの売り上げデータ!C14</f>
        <v>4.5999999999999996</v>
      </c>
      <c r="E14">
        <f>アイスクリームの売り上げデータ!D14</f>
        <v>6.2</v>
      </c>
      <c r="F14">
        <f>アイスクリームの売り上げデータ!E14</f>
        <v>2.7</v>
      </c>
      <c r="G14">
        <f>アイスクリームの売り上げデータ!F14</f>
        <v>0</v>
      </c>
      <c r="H14">
        <f>アイスクリームの売り上げデータ!G14</f>
        <v>161</v>
      </c>
      <c r="I14">
        <f>重回帰の係数!$B$18*重回帰分析!C14+重回帰の係数!$B$19*重回帰分析!D14+重回帰の係数!$B$20*重回帰分析!E14+重回帰の係数!$B$21*重回帰分析!F14+重回帰の係数!$B$22*重回帰分析!G14+重回帰の係数!$B$17</f>
        <v>167.72658096348127</v>
      </c>
      <c r="J14">
        <f t="shared" si="0"/>
        <v>6.7265809634812683</v>
      </c>
    </row>
    <row r="15" spans="2:13">
      <c r="B15" s="7">
        <v>43478</v>
      </c>
      <c r="C15">
        <f>IF(OR(アイスクリームの売り上げデータ!B15=1,アイスクリームの売り上げデータ!B15=7),1,0)</f>
        <v>1</v>
      </c>
      <c r="D15">
        <f>アイスクリームの売り上げデータ!C15</f>
        <v>6.2</v>
      </c>
      <c r="E15">
        <f>アイスクリームの売り上げデータ!D15</f>
        <v>10.1</v>
      </c>
      <c r="F15">
        <f>アイスクリームの売り上げデータ!E15</f>
        <v>3.9</v>
      </c>
      <c r="G15">
        <f>アイスクリームの売り上げデータ!F15</f>
        <v>0</v>
      </c>
      <c r="H15">
        <f>アイスクリームの売り上げデータ!G15</f>
        <v>176</v>
      </c>
      <c r="I15">
        <f>重回帰の係数!$B$18*重回帰分析!C15+重回帰の係数!$B$19*重回帰分析!D15+重回帰の係数!$B$20*重回帰分析!E15+重回帰の係数!$B$21*重回帰分析!F15+重回帰の係数!$B$22*重回帰分析!G15+重回帰の係数!$B$17</f>
        <v>174.7473978799888</v>
      </c>
      <c r="J15">
        <f t="shared" si="0"/>
        <v>1.2526021200112041</v>
      </c>
    </row>
    <row r="16" spans="2:13">
      <c r="B16" s="7">
        <v>43479</v>
      </c>
      <c r="C16">
        <f>IF(OR(アイスクリームの売り上げデータ!B16=1,アイスクリームの売り上げデータ!B16=7),1,0)</f>
        <v>0</v>
      </c>
      <c r="D16">
        <f>アイスクリームの売り上げデータ!C16</f>
        <v>5.6</v>
      </c>
      <c r="E16">
        <f>アイスクリームの売り上げデータ!D16</f>
        <v>9.8000000000000007</v>
      </c>
      <c r="F16">
        <f>アイスクリームの売り上げデータ!E16</f>
        <v>1.3</v>
      </c>
      <c r="G16">
        <f>アイスクリームの売り上げデータ!F16</f>
        <v>0</v>
      </c>
      <c r="H16">
        <f>アイスクリームの売り上げデータ!G16</f>
        <v>87</v>
      </c>
      <c r="I16">
        <f>重回帰の係数!$B$18*重回帰分析!C16+重回帰の係数!$B$19*重回帰分析!D16+重回帰の係数!$B$20*重回帰分析!E16+重回帰の係数!$B$21*重回帰分析!F16+重回帰の係数!$B$22*重回帰分析!G16+重回帰の係数!$B$17</f>
        <v>106.75119079334996</v>
      </c>
      <c r="J16">
        <f t="shared" si="0"/>
        <v>19.751190793349963</v>
      </c>
    </row>
    <row r="17" spans="2:10">
      <c r="B17" s="7">
        <v>43480</v>
      </c>
      <c r="C17">
        <f>IF(OR(アイスクリームの売り上げデータ!B17=1,アイスクリームの売り上げデータ!B17=7),1,0)</f>
        <v>0</v>
      </c>
      <c r="D17">
        <f>アイスクリームの売り上げデータ!C17</f>
        <v>5.6</v>
      </c>
      <c r="E17">
        <f>アイスクリームの売り上げデータ!D17</f>
        <v>10.5</v>
      </c>
      <c r="F17">
        <f>アイスクリームの売り上げデータ!E17</f>
        <v>0.4</v>
      </c>
      <c r="G17">
        <f>アイスクリームの売り上げデータ!F17</f>
        <v>0.5</v>
      </c>
      <c r="H17">
        <f>アイスクリームの売り上げデータ!G17</f>
        <v>100</v>
      </c>
      <c r="I17">
        <f>重回帰の係数!$B$18*重回帰分析!C17+重回帰の係数!$B$19*重回帰分析!D17+重回帰の係数!$B$20*重回帰分析!E17+重回帰の係数!$B$21*重回帰分析!F17+重回帰の係数!$B$22*重回帰分析!G17+重回帰の係数!$B$17</f>
        <v>105.92664534746125</v>
      </c>
      <c r="J17">
        <f t="shared" si="0"/>
        <v>5.9266453474612462</v>
      </c>
    </row>
    <row r="18" spans="2:10">
      <c r="B18" s="7">
        <v>43481</v>
      </c>
      <c r="C18">
        <f>IF(OR(アイスクリームの売り上げデータ!B18=1,アイスクリームの売り上げデータ!B18=7),1,0)</f>
        <v>0</v>
      </c>
      <c r="D18">
        <f>アイスクリームの売り上げデータ!C18</f>
        <v>6.6</v>
      </c>
      <c r="E18">
        <f>アイスクリームの売り上げデータ!D18</f>
        <v>11.3</v>
      </c>
      <c r="F18">
        <f>アイスクリームの売り上げデータ!E18</f>
        <v>1.8</v>
      </c>
      <c r="G18">
        <f>アイスクリームの売り上げデータ!F18</f>
        <v>0</v>
      </c>
      <c r="H18">
        <f>アイスクリームの売り上げデータ!G18</f>
        <v>130</v>
      </c>
      <c r="I18">
        <f>重回帰の係数!$B$18*重回帰分析!C18+重回帰の係数!$B$19*重回帰分析!D18+重回帰の係数!$B$20*重回帰分析!E18+重回帰の係数!$B$21*重回帰分析!F18+重回帰の係数!$B$22*重回帰分析!G18+重回帰の係数!$B$17</f>
        <v>110.30322545010554</v>
      </c>
      <c r="J18">
        <f t="shared" si="0"/>
        <v>19.696774549894457</v>
      </c>
    </row>
    <row r="19" spans="2:10">
      <c r="B19" s="7">
        <v>43482</v>
      </c>
      <c r="C19">
        <f>IF(OR(アイスクリームの売り上げデータ!B19=1,アイスクリームの売り上げデータ!B19=7),1,0)</f>
        <v>0</v>
      </c>
      <c r="D19">
        <f>アイスクリームの売り上げデータ!C19</f>
        <v>6.6</v>
      </c>
      <c r="E19">
        <f>アイスクリームの売り上げデータ!D19</f>
        <v>11.6</v>
      </c>
      <c r="F19">
        <f>アイスクリームの売り上げデータ!E19</f>
        <v>2</v>
      </c>
      <c r="G19">
        <f>アイスクリームの売り上げデータ!F19</f>
        <v>0</v>
      </c>
      <c r="H19">
        <f>アイスクリームの売り上げデータ!G19</f>
        <v>117</v>
      </c>
      <c r="I19">
        <f>重回帰の係数!$B$18*重回帰分析!C19+重回帰の係数!$B$19*重回帰分析!D19+重回帰の係数!$B$20*重回帰分析!E19+重回帰の係数!$B$21*重回帰分析!F19+重回帰の係数!$B$22*重回帰分析!G19+重回帰の係数!$B$17</f>
        <v>110.66800712194879</v>
      </c>
      <c r="J19">
        <f t="shared" si="0"/>
        <v>6.33199287805121</v>
      </c>
    </row>
    <row r="20" spans="2:10">
      <c r="B20" s="7">
        <v>43483</v>
      </c>
      <c r="C20">
        <f>IF(OR(アイスクリームの売り上げデータ!B20=1,アイスクリームの売り上げデータ!B20=7),1,0)</f>
        <v>0</v>
      </c>
      <c r="D20">
        <f>アイスクリームの売り上げデータ!C20</f>
        <v>5.9</v>
      </c>
      <c r="E20">
        <f>アイスクリームの売り上げデータ!D20</f>
        <v>10</v>
      </c>
      <c r="F20">
        <f>アイスクリームの売り上げデータ!E20</f>
        <v>2.8</v>
      </c>
      <c r="G20">
        <f>アイスクリームの売り上げデータ!F20</f>
        <v>0</v>
      </c>
      <c r="H20">
        <f>アイスクリームの売り上げデータ!G20</f>
        <v>102</v>
      </c>
      <c r="I20">
        <f>重回帰の係数!$B$18*重回帰分析!C20+重回帰の係数!$B$19*重回帰分析!D20+重回帰の係数!$B$20*重回帰分析!E20+重回帰の係数!$B$21*重回帰分析!F20+重回帰の係数!$B$22*重回帰分析!G20+重回帰の係数!$B$17</f>
        <v>108.74219333356564</v>
      </c>
      <c r="J20">
        <f t="shared" si="0"/>
        <v>6.7421933335656377</v>
      </c>
    </row>
    <row r="21" spans="2:10">
      <c r="B21" s="7">
        <v>43484</v>
      </c>
      <c r="C21">
        <f>IF(OR(アイスクリームの売り上げデータ!B21=1,アイスクリームの売り上げデータ!B21=7),1,0)</f>
        <v>1</v>
      </c>
      <c r="D21">
        <f>アイスクリームの売り上げデータ!C21</f>
        <v>6.6</v>
      </c>
      <c r="E21">
        <f>アイスクリームの売り上げデータ!D21</f>
        <v>11.7</v>
      </c>
      <c r="F21">
        <f>アイスクリームの売り上げデータ!E21</f>
        <v>1.9</v>
      </c>
      <c r="G21">
        <f>アイスクリームの売り上げデータ!F21</f>
        <v>0</v>
      </c>
      <c r="H21">
        <f>アイスクリームの売り上げデータ!G21</f>
        <v>160</v>
      </c>
      <c r="I21">
        <f>重回帰の係数!$B$18*重回帰分析!C21+重回帰の係数!$B$19*重回帰分析!D21+重回帰の係数!$B$20*重回帰分析!E21+重回帰の係数!$B$21*重回帰分析!F21+重回帰の係数!$B$22*重回帰分析!G21+重回帰の係数!$B$17</f>
        <v>175.0604932686955</v>
      </c>
      <c r="J21">
        <f t="shared" si="0"/>
        <v>15.060493268695495</v>
      </c>
    </row>
    <row r="22" spans="2:10">
      <c r="B22" s="7">
        <v>43485</v>
      </c>
      <c r="C22">
        <f>IF(OR(アイスクリームの売り上げデータ!B22=1,アイスクリームの売り上げデータ!B22=7),1,0)</f>
        <v>1</v>
      </c>
      <c r="D22">
        <f>アイスクリームの売り上げデータ!C22</f>
        <v>7.1</v>
      </c>
      <c r="E22">
        <f>アイスクリームの売り上げデータ!D22</f>
        <v>12</v>
      </c>
      <c r="F22">
        <f>アイスクリームの売り上げデータ!E22</f>
        <v>1.8</v>
      </c>
      <c r="G22">
        <f>アイスクリームの売り上げデータ!F22</f>
        <v>0</v>
      </c>
      <c r="H22">
        <f>アイスクリームの売り上げデータ!G22</f>
        <v>187</v>
      </c>
      <c r="I22">
        <f>重回帰の係数!$B$18*重回帰分析!C22+重回帰の係数!$B$19*重回帰分析!D22+重回帰の係数!$B$20*重回帰分析!E22+重回帰の係数!$B$21*重回帰分析!F22+重回帰の係数!$B$22*重回帰分析!G22+重回帰の係数!$B$17</f>
        <v>176.24880918151533</v>
      </c>
      <c r="J22">
        <f t="shared" si="0"/>
        <v>10.751190818484673</v>
      </c>
    </row>
    <row r="23" spans="2:10">
      <c r="B23" s="7">
        <v>43486</v>
      </c>
      <c r="C23">
        <f>IF(OR(アイスクリームの売り上げデータ!B23=1,アイスクリームの売り上げデータ!B23=7),1,0)</f>
        <v>0</v>
      </c>
      <c r="D23">
        <f>アイスクリームの売り上げデータ!C23</f>
        <v>5.8</v>
      </c>
      <c r="E23">
        <f>アイスクリームの売り上げデータ!D23</f>
        <v>10.5</v>
      </c>
      <c r="F23">
        <f>アイスクリームの売り上げデータ!E23</f>
        <v>2.5</v>
      </c>
      <c r="G23">
        <f>アイスクリームの売り上げデータ!F23</f>
        <v>0</v>
      </c>
      <c r="H23">
        <f>アイスクリームの売り上げデータ!G23</f>
        <v>90</v>
      </c>
      <c r="I23">
        <f>重回帰の係数!$B$18*重回帰分析!C23+重回帰の係数!$B$19*重回帰分析!D23+重回帰の係数!$B$20*重回帰分析!E23+重回帰の係数!$B$21*重回帰分析!F23+重回帰の係数!$B$22*重回帰分析!G23+重回帰の係数!$B$17</f>
        <v>108.62345508371094</v>
      </c>
      <c r="J23">
        <f t="shared" si="0"/>
        <v>18.623455083710937</v>
      </c>
    </row>
    <row r="24" spans="2:10">
      <c r="B24" s="7">
        <v>43487</v>
      </c>
      <c r="C24">
        <f>IF(OR(アイスクリームの売り上げデータ!B24=1,アイスクリームの売り上げデータ!B24=7),1,0)</f>
        <v>0</v>
      </c>
      <c r="D24">
        <f>アイスクリームの売り上げデータ!C24</f>
        <v>5</v>
      </c>
      <c r="E24">
        <f>アイスクリームの売り上げデータ!D24</f>
        <v>10.6</v>
      </c>
      <c r="F24">
        <f>アイスクリームの売り上げデータ!E24</f>
        <v>-0.2</v>
      </c>
      <c r="G24">
        <f>アイスクリームの売り上げデータ!F24</f>
        <v>0</v>
      </c>
      <c r="H24">
        <f>アイスクリームの売り上げデータ!G24</f>
        <v>98</v>
      </c>
      <c r="I24">
        <f>重回帰の係数!$B$18*重回帰分析!C24+重回帰の係数!$B$19*重回帰分析!D24+重回帰の係数!$B$20*重回帰分析!E24+重回帰の係数!$B$21*重回帰分析!F24+重回帰の係数!$B$22*重回帰分析!G24+重回帰の係数!$B$17</f>
        <v>104.79571710939541</v>
      </c>
      <c r="J24">
        <f t="shared" si="0"/>
        <v>6.7957171093954116</v>
      </c>
    </row>
    <row r="25" spans="2:10">
      <c r="B25" s="7">
        <v>43488</v>
      </c>
      <c r="C25">
        <f>IF(OR(アイスクリームの売り上げデータ!B25=1,アイスクリームの売り上げデータ!B25=7),1,0)</f>
        <v>0</v>
      </c>
      <c r="D25">
        <f>アイスクリームの売り上げデータ!C25</f>
        <v>6.7</v>
      </c>
      <c r="E25">
        <f>アイスクリームの売り上げデータ!D25</f>
        <v>11.2</v>
      </c>
      <c r="F25">
        <f>アイスクリームの売り上げデータ!E25</f>
        <v>1.7</v>
      </c>
      <c r="G25">
        <f>アイスクリームの売り上げデータ!F25</f>
        <v>0</v>
      </c>
      <c r="H25">
        <f>アイスクリームの売り上げデータ!G25</f>
        <v>139</v>
      </c>
      <c r="I25">
        <f>重回帰の係数!$B$18*重回帰分析!C25+重回帰の係数!$B$19*重回帰分析!D25+重回帰の係数!$B$20*重回帰分析!E25+重回帰の係数!$B$21*重回帰分析!F25+重回帰の係数!$B$22*重回帰分析!G25+重回帰の係数!$B$17</f>
        <v>110.36795382517613</v>
      </c>
      <c r="J25">
        <f t="shared" si="0"/>
        <v>28.63204617482387</v>
      </c>
    </row>
    <row r="26" spans="2:10">
      <c r="B26" s="7">
        <v>43489</v>
      </c>
      <c r="C26">
        <f>IF(OR(アイスクリームの売り上げデータ!B26=1,アイスクリームの売り上げデータ!B26=7),1,0)</f>
        <v>0</v>
      </c>
      <c r="D26">
        <f>アイスクリームの売り上げデータ!C26</f>
        <v>6.2</v>
      </c>
      <c r="E26">
        <f>アイスクリームの売り上げデータ!D26</f>
        <v>10.199999999999999</v>
      </c>
      <c r="F26">
        <f>アイスクリームの売り上げデータ!E26</f>
        <v>3.4</v>
      </c>
      <c r="G26">
        <f>アイスクリームの売り上げデータ!F26</f>
        <v>0</v>
      </c>
      <c r="H26">
        <f>アイスクリームの売り上げデータ!G26</f>
        <v>112</v>
      </c>
      <c r="I26">
        <f>重回帰の係数!$B$18*重回帰分析!C26+重回帰の係数!$B$19*重回帰分析!D26+重回帰の係数!$B$20*重回帰分析!E26+重回帰の係数!$B$21*重回帰分析!F26+重回帰の係数!$B$22*重回帰分析!G26+重回帰の係数!$B$17</f>
        <v>110.00367553350492</v>
      </c>
      <c r="J26">
        <f t="shared" si="0"/>
        <v>1.9963244664950821</v>
      </c>
    </row>
    <row r="27" spans="2:10">
      <c r="B27" s="7">
        <v>43490</v>
      </c>
      <c r="C27">
        <f>IF(OR(アイスクリームの売り上げデータ!B27=1,アイスクリームの売り上げデータ!B27=7),1,0)</f>
        <v>0</v>
      </c>
      <c r="D27">
        <f>アイスクリームの売り上げデータ!C27</f>
        <v>6</v>
      </c>
      <c r="E27">
        <f>アイスクリームの売り上げデータ!D27</f>
        <v>10</v>
      </c>
      <c r="F27">
        <f>アイスクリームの売り上げデータ!E27</f>
        <v>2.8</v>
      </c>
      <c r="G27">
        <f>アイスクリームの売り上げデータ!F27</f>
        <v>0</v>
      </c>
      <c r="H27">
        <f>アイスクリームの売り上げデータ!G27</f>
        <v>111</v>
      </c>
      <c r="I27">
        <f>重回帰の係数!$B$18*重回帰分析!C27+重回帰の係数!$B$19*重回帰分析!D27+重回帰の係数!$B$20*重回帰分析!E27+重回帰の係数!$B$21*重回帰分析!F27+重回帰の係数!$B$22*重回帰分析!G27+重回帰の係数!$B$17</f>
        <v>108.95553487111272</v>
      </c>
      <c r="J27">
        <f t="shared" si="0"/>
        <v>2.0444651288872819</v>
      </c>
    </row>
    <row r="28" spans="2:10">
      <c r="B28" s="7">
        <v>43491</v>
      </c>
      <c r="C28">
        <f>IF(OR(アイスクリームの売り上げデータ!B28=1,アイスクリームの売り上げデータ!B28=7),1,0)</f>
        <v>1</v>
      </c>
      <c r="D28">
        <f>アイスクリームの売り上げデータ!C28</f>
        <v>4.5</v>
      </c>
      <c r="E28">
        <f>アイスクリームの売り上げデータ!D28</f>
        <v>9.9</v>
      </c>
      <c r="F28">
        <f>アイスクリームの売り上げデータ!E28</f>
        <v>1.5</v>
      </c>
      <c r="G28">
        <f>アイスクリームの売り上げデータ!F28</f>
        <v>0</v>
      </c>
      <c r="H28">
        <f>アイスクリームの売り上げデータ!G28</f>
        <v>152</v>
      </c>
      <c r="I28">
        <f>重回帰の係数!$B$18*重回帰分析!C28+重回帰の係数!$B$19*重回帰分析!D28+重回帰の係数!$B$20*重回帰分析!E28+重回帰の係数!$B$21*重回帰分析!F28+重回帰の係数!$B$22*重回帰分析!G28+重回帰の係数!$B$17</f>
        <v>169.04009347383766</v>
      </c>
      <c r="J28">
        <f t="shared" si="0"/>
        <v>17.040093473837658</v>
      </c>
    </row>
    <row r="29" spans="2:10">
      <c r="B29" s="7">
        <v>43492</v>
      </c>
      <c r="C29">
        <f>IF(OR(アイスクリームの売り上げデータ!B29=1,アイスクリームの売り上げデータ!B29=7),1,0)</f>
        <v>1</v>
      </c>
      <c r="D29">
        <f>アイスクリームの売り上げデータ!C29</f>
        <v>4.5999999999999996</v>
      </c>
      <c r="E29">
        <f>アイスクリームの売り上げデータ!D29</f>
        <v>9.6999999999999993</v>
      </c>
      <c r="F29">
        <f>アイスクリームの売り上げデータ!E29</f>
        <v>1.1000000000000001</v>
      </c>
      <c r="G29">
        <f>アイスクリームの売り上げデータ!F29</f>
        <v>0</v>
      </c>
      <c r="H29">
        <f>アイスクリームの売り上げデータ!G29</f>
        <v>170</v>
      </c>
      <c r="I29">
        <f>重回帰の係数!$B$18*重回帰分析!C29+重回帰の係数!$B$19*重回帰分析!D29+重回帰の係数!$B$20*重回帰分析!E29+重回帰の係数!$B$21*重回帰分析!F29+重回帰の係数!$B$22*重回帰分析!G29+重回帰の係数!$B$17</f>
        <v>168.79409305525922</v>
      </c>
      <c r="J29">
        <f t="shared" si="0"/>
        <v>1.2059069447407751</v>
      </c>
    </row>
    <row r="30" spans="2:10">
      <c r="B30" s="7">
        <v>43493</v>
      </c>
      <c r="C30">
        <f>IF(OR(アイスクリームの売り上げデータ!B30=1,アイスクリームの売り上げデータ!B30=7),1,0)</f>
        <v>0</v>
      </c>
      <c r="D30">
        <f>アイスクリームの売り上げデータ!C30</f>
        <v>6.5</v>
      </c>
      <c r="E30">
        <f>アイスクリームの売り上げデータ!D30</f>
        <v>13.2</v>
      </c>
      <c r="F30">
        <f>アイスクリームの売り上げデータ!E30</f>
        <v>0</v>
      </c>
      <c r="G30">
        <f>アイスクリームの売り上げデータ!F30</f>
        <v>0</v>
      </c>
      <c r="H30">
        <f>アイスクリームの売り上げデータ!G30</f>
        <v>80</v>
      </c>
      <c r="I30">
        <f>重回帰の係数!$B$18*重回帰分析!C30+重回帰の係数!$B$19*重回帰分析!D30+重回帰の係数!$B$20*重回帰分析!E30+重回帰の係数!$B$21*重回帰分析!F30+重回帰の係数!$B$22*重回帰分析!G30+重回帰の係数!$B$17</f>
        <v>109.91439482292014</v>
      </c>
      <c r="J30">
        <f t="shared" si="0"/>
        <v>29.914394822920144</v>
      </c>
    </row>
    <row r="31" spans="2:10">
      <c r="B31" s="7">
        <v>43494</v>
      </c>
      <c r="C31">
        <f>IF(OR(アイスクリームの売り上げデータ!B31=1,アイスクリームの売り上げデータ!B31=7),1,0)</f>
        <v>0</v>
      </c>
      <c r="D31">
        <f>アイスクリームの売り上げデータ!C31</f>
        <v>6</v>
      </c>
      <c r="E31">
        <f>アイスクリームの売り上げデータ!D31</f>
        <v>9.9</v>
      </c>
      <c r="F31">
        <f>アイスクリームの売り上げデータ!E31</f>
        <v>3</v>
      </c>
      <c r="G31">
        <f>アイスクリームの売り上げデータ!F31</f>
        <v>0</v>
      </c>
      <c r="H31">
        <f>アイスクリームの売り上げデータ!G31</f>
        <v>115</v>
      </c>
      <c r="I31">
        <f>重回帰の係数!$B$18*重回帰分析!C31+重回帰の係数!$B$19*重回帰分析!D31+重回帰の係数!$B$20*重回帰分析!E31+重回帰の係数!$B$21*重回帰分析!F31+重回帰の係数!$B$22*重回帰分析!G31+重回帰の係数!$B$17</f>
        <v>109.05009515539501</v>
      </c>
      <c r="J31">
        <f t="shared" si="0"/>
        <v>5.9499048446049869</v>
      </c>
    </row>
    <row r="32" spans="2:10">
      <c r="B32" s="7">
        <v>43495</v>
      </c>
      <c r="C32">
        <f>IF(OR(アイスクリームの売り上げデータ!B32=1,アイスクリームの売り上げデータ!B32=7),1,0)</f>
        <v>0</v>
      </c>
      <c r="D32">
        <f>アイスクリームの売り上げデータ!C32</f>
        <v>5.2</v>
      </c>
      <c r="E32">
        <f>アイスクリームの売り上げデータ!D32</f>
        <v>10</v>
      </c>
      <c r="F32">
        <f>アイスクリームの売り上げデータ!E32</f>
        <v>0.2</v>
      </c>
      <c r="G32">
        <f>アイスクリームの売り上げデータ!F32</f>
        <v>0</v>
      </c>
      <c r="H32">
        <f>アイスクリームの売り上げデータ!G32</f>
        <v>120</v>
      </c>
      <c r="I32">
        <f>重回帰の係数!$B$18*重回帰分析!C32+重回帰の係数!$B$19*重回帰分析!D32+重回帰の係数!$B$20*重回帰分析!E32+重回帰の係数!$B$21*重回帰分析!F32+重回帰の係数!$B$22*重回帰分析!G32+重回帰の係数!$B$17</f>
        <v>105.14129936549321</v>
      </c>
      <c r="J32">
        <f t="shared" si="0"/>
        <v>14.858700634506789</v>
      </c>
    </row>
    <row r="33" spans="2:10">
      <c r="B33" s="7">
        <v>43496</v>
      </c>
      <c r="C33">
        <f>IF(OR(アイスクリームの売り上げデータ!B33=1,アイスクリームの売り上げデータ!B33=7),1,0)</f>
        <v>0</v>
      </c>
      <c r="D33">
        <f>アイスクリームの売り上げデータ!C33</f>
        <v>5.0999999999999996</v>
      </c>
      <c r="E33">
        <f>アイスクリームの売り上げデータ!D33</f>
        <v>11.2</v>
      </c>
      <c r="F33">
        <f>アイスクリームの売り上げデータ!E33</f>
        <v>1.7</v>
      </c>
      <c r="G33">
        <f>アイスクリームの売り上げデータ!F33</f>
        <v>15.5</v>
      </c>
      <c r="H33">
        <f>アイスクリームの売り上げデータ!G33</f>
        <v>94</v>
      </c>
      <c r="I33">
        <f>重回帰の係数!$B$18*重回帰分析!C33+重回帰の係数!$B$19*重回帰分析!D33+重回帰の係数!$B$20*重回帰分析!E33+重回帰の係数!$B$21*重回帰分析!F33+重回帰の係数!$B$22*重回帰分析!G33+重回帰の係数!$B$17</f>
        <v>89.349200675259908</v>
      </c>
      <c r="J33">
        <f t="shared" si="0"/>
        <v>4.6507993247400918</v>
      </c>
    </row>
    <row r="34" spans="2:10">
      <c r="B34" s="7">
        <v>43497</v>
      </c>
      <c r="C34">
        <f>IF(OR(アイスクリームの売り上げデータ!B34=1,アイスクリームの売り上げデータ!B34=7),1,0)</f>
        <v>0</v>
      </c>
      <c r="D34">
        <f>アイスクリームの売り上げデータ!C34</f>
        <v>4.0999999999999996</v>
      </c>
      <c r="E34">
        <f>アイスクリームの売り上げデータ!D34</f>
        <v>8.3000000000000007</v>
      </c>
      <c r="F34">
        <f>アイスクリームの売り上げデータ!E34</f>
        <v>1.3</v>
      </c>
      <c r="G34">
        <f>アイスクリームの売り上げデータ!F34</f>
        <v>0</v>
      </c>
      <c r="H34">
        <f>アイスクリームの売り上げデータ!G34</f>
        <v>97</v>
      </c>
      <c r="I34">
        <f>重回帰の係数!$B$18*重回帰分析!C34+重回帰の係数!$B$19*重回帰分析!D34+重回帰の係数!$B$20*重回帰分析!E34+重回帰の係数!$B$21*重回帰分析!F34+重回帰の係数!$B$22*重回帰分析!G34+重回帰の係数!$B$17</f>
        <v>102.53773752679032</v>
      </c>
      <c r="J34">
        <f t="shared" si="0"/>
        <v>5.5377375267903233</v>
      </c>
    </row>
    <row r="35" spans="2:10">
      <c r="B35" s="7">
        <v>43498</v>
      </c>
      <c r="C35">
        <f>IF(OR(アイスクリームの売り上げデータ!B35=1,アイスクリームの売り上げデータ!B35=7),1,0)</f>
        <v>1</v>
      </c>
      <c r="D35">
        <f>アイスクリームの売り上げデータ!C35</f>
        <v>6</v>
      </c>
      <c r="E35">
        <f>アイスクリームの売り上げデータ!D35</f>
        <v>12.6</v>
      </c>
      <c r="F35">
        <f>アイスクリームの売り上げデータ!E35</f>
        <v>-0.9</v>
      </c>
      <c r="G35">
        <f>アイスクリームの売り上げデータ!F35</f>
        <v>0</v>
      </c>
      <c r="H35">
        <f>アイスクリームの売り上げデータ!G35</f>
        <v>149</v>
      </c>
      <c r="I35">
        <f>重回帰の係数!$B$18*重回帰分析!C35+重回帰の係数!$B$19*重回帰分析!D35+重回帰の係数!$B$20*重回帰分析!E35+重回帰の係数!$B$21*重回帰分析!F35+重回帰の係数!$B$22*重回帰分析!G35+重回帰の係数!$B$17</f>
        <v>172.11882332900973</v>
      </c>
      <c r="J35">
        <f t="shared" si="0"/>
        <v>23.118823329009729</v>
      </c>
    </row>
    <row r="36" spans="2:10">
      <c r="B36" s="7">
        <v>43499</v>
      </c>
      <c r="C36">
        <f>IF(OR(アイスクリームの売り上げデータ!B36=1,アイスクリームの売り上げデータ!B36=7),1,0)</f>
        <v>1</v>
      </c>
      <c r="D36">
        <f>アイスクリームの売り上げデータ!C36</f>
        <v>8.5</v>
      </c>
      <c r="E36">
        <f>アイスクリームの売り上げデータ!D36</f>
        <v>13.4</v>
      </c>
      <c r="F36">
        <f>アイスクリームの売り上げデータ!E36</f>
        <v>3</v>
      </c>
      <c r="G36">
        <f>アイスクリームの売り上げデータ!F36</f>
        <v>0</v>
      </c>
      <c r="H36">
        <f>アイスクリームの売り上げデータ!G36</f>
        <v>176</v>
      </c>
      <c r="I36">
        <f>重回帰の係数!$B$18*重回帰分析!C36+重回帰の係数!$B$19*重回帰分析!D36+重回帰の係数!$B$20*重回帰分析!E36+重回帰の係数!$B$21*重回帰分析!F36+重回帰の係数!$B$22*重回帰分析!G36+重回帰の係数!$B$17</f>
        <v>181.15405935067284</v>
      </c>
      <c r="J36">
        <f t="shared" si="0"/>
        <v>5.1540593506728385</v>
      </c>
    </row>
    <row r="37" spans="2:10">
      <c r="B37" s="7">
        <v>43500</v>
      </c>
      <c r="C37">
        <f>IF(OR(アイスクリームの売り上げデータ!B37=1,アイスクリームの売り上げデータ!B37=7),1,0)</f>
        <v>0</v>
      </c>
      <c r="D37">
        <f>アイスクリームの売り上げデータ!C37</f>
        <v>13.2</v>
      </c>
      <c r="E37">
        <f>アイスクリームの売り上げデータ!D37</f>
        <v>19.399999999999999</v>
      </c>
      <c r="F37">
        <f>アイスクリームの売り上げデータ!E37</f>
        <v>6.7</v>
      </c>
      <c r="G37">
        <f>アイスクリームの売り上げデータ!F37</f>
        <v>0</v>
      </c>
      <c r="H37">
        <f>アイスクリームの売り上げデータ!G37</f>
        <v>114</v>
      </c>
      <c r="I37">
        <f>重回帰の係数!$B$18*重回帰分析!C37+重回帰の係数!$B$19*重回帰分析!D37+重回帰の係数!$B$20*重回帰分析!E37+重回帰の係数!$B$21*重回帰分析!F37+重回帰の係数!$B$22*重回帰分析!G37+重回帰の係数!$B$17</f>
        <v>133.82758299004843</v>
      </c>
      <c r="J37">
        <f t="shared" si="0"/>
        <v>19.827582990048427</v>
      </c>
    </row>
    <row r="38" spans="2:10">
      <c r="B38" s="7">
        <v>43501</v>
      </c>
      <c r="C38">
        <f>IF(OR(アイスクリームの売り上げデータ!B38=1,アイスクリームの売り上げデータ!B38=7),1,0)</f>
        <v>0</v>
      </c>
      <c r="D38">
        <f>アイスクリームの売り上げデータ!C38</f>
        <v>6.7</v>
      </c>
      <c r="E38">
        <f>アイスクリームの売り上げデータ!D38</f>
        <v>8.8000000000000007</v>
      </c>
      <c r="F38">
        <f>アイスクリームの売り上げデータ!E38</f>
        <v>5.3</v>
      </c>
      <c r="G38">
        <f>アイスクリームの売り上げデータ!F38</f>
        <v>0</v>
      </c>
      <c r="H38">
        <f>アイスクリームの売り上げデータ!G38</f>
        <v>122</v>
      </c>
      <c r="I38">
        <f>重回帰の係数!$B$18*重回帰分析!C38+重回帰の係数!$B$19*重回帰分析!D38+重回帰の係数!$B$20*重回帰分析!E38+重回帰の係数!$B$21*重回帰分析!F38+重回帰の係数!$B$22*重回帰分析!G38+重回帰の係数!$B$17</f>
        <v>111.66470686091606</v>
      </c>
      <c r="J38">
        <f t="shared" si="0"/>
        <v>10.335293139083944</v>
      </c>
    </row>
    <row r="39" spans="2:10">
      <c r="B39" s="7">
        <v>43502</v>
      </c>
      <c r="C39">
        <f>IF(OR(アイスクリームの売り上げデータ!B39=1,アイスクリームの売り上げデータ!B39=7),1,0)</f>
        <v>0</v>
      </c>
      <c r="D39">
        <f>アイスクリームの売り上げデータ!C39</f>
        <v>5.7</v>
      </c>
      <c r="E39">
        <f>アイスクリームの売り上げデータ!D39</f>
        <v>7.7</v>
      </c>
      <c r="F39">
        <f>アイスクリームの売り上げデータ!E39</f>
        <v>3.9</v>
      </c>
      <c r="G39">
        <f>アイスクリームの売り上げデータ!F39</f>
        <v>15</v>
      </c>
      <c r="H39">
        <f>アイスクリームの売り上げデータ!G39</f>
        <v>119</v>
      </c>
      <c r="I39">
        <f>重回帰の係数!$B$18*重回帰分析!C39+重回帰の係数!$B$19*重回帰分析!D39+重回帰の係数!$B$20*重回帰分析!E39+重回帰の係数!$B$21*重回帰分析!F39+重回帰の係数!$B$22*重回帰分析!G39+重回帰の係数!$B$17</f>
        <v>90.615997236125963</v>
      </c>
      <c r="J39">
        <f t="shared" si="0"/>
        <v>28.384002763874037</v>
      </c>
    </row>
    <row r="40" spans="2:10">
      <c r="B40" s="7">
        <v>43503</v>
      </c>
      <c r="C40">
        <f>IF(OR(アイスクリームの売り上げデータ!B40=1,アイスクリームの売り上げデータ!B40=7),1,0)</f>
        <v>0</v>
      </c>
      <c r="D40">
        <f>アイスクリームの売り上げデータ!C40</f>
        <v>9.6</v>
      </c>
      <c r="E40">
        <f>アイスクリームの売り上げデータ!D40</f>
        <v>16.5</v>
      </c>
      <c r="F40">
        <f>アイスクリームの売り上げデータ!E40</f>
        <v>3.9</v>
      </c>
      <c r="G40">
        <f>アイスクリームの売り上げデータ!F40</f>
        <v>0</v>
      </c>
      <c r="H40">
        <f>アイスクリームの売り上げデータ!G40</f>
        <v>123</v>
      </c>
      <c r="I40">
        <f>重回帰の係数!$B$18*重回帰分析!C40+重回帰の係数!$B$19*重回帰分析!D40+重回帰の係数!$B$20*重回帰分析!E40+重回帰の係数!$B$21*重回帰分析!F40+重回帰の係数!$B$22*重回帰分析!G40+重回帰の係数!$B$17</f>
        <v>121.91856374212153</v>
      </c>
      <c r="J40">
        <f t="shared" si="0"/>
        <v>1.0814362578784653</v>
      </c>
    </row>
    <row r="41" spans="2:10">
      <c r="B41" s="7">
        <v>43504</v>
      </c>
      <c r="C41">
        <f>IF(OR(アイスクリームの売り上げデータ!B41=1,アイスクリームの売り上げデータ!B41=7),1,0)</f>
        <v>0</v>
      </c>
      <c r="D41">
        <f>アイスクリームの売り上げデータ!C41</f>
        <v>6.1</v>
      </c>
      <c r="E41">
        <f>アイスクリームの売り上げデータ!D41</f>
        <v>10.6</v>
      </c>
      <c r="F41">
        <f>アイスクリームの売り上げデータ!E41</f>
        <v>3.3</v>
      </c>
      <c r="G41">
        <f>アイスクリームの売り上げデータ!F41</f>
        <v>0</v>
      </c>
      <c r="H41">
        <f>アイスクリームの売り上げデータ!G41</f>
        <v>110</v>
      </c>
      <c r="I41">
        <f>重回帰の係数!$B$18*重回帰分析!C41+重回帰の係数!$B$19*重回帰分析!D41+重回帰の係数!$B$20*重回帰分析!E41+重回帰の係数!$B$21*重回帰分析!F41+重回帰の係数!$B$22*重回帰分析!G41+重回帰の係数!$B$17</f>
        <v>109.97949756793251</v>
      </c>
      <c r="J41">
        <f t="shared" si="0"/>
        <v>2.050243206748803E-2</v>
      </c>
    </row>
    <row r="42" spans="2:10">
      <c r="B42" s="7">
        <v>43505</v>
      </c>
      <c r="C42">
        <f>IF(OR(アイスクリームの売り上げデータ!B42=1,アイスクリームの売り上げデータ!B42=7),1,0)</f>
        <v>1</v>
      </c>
      <c r="D42">
        <f>アイスクリームの売り上げデータ!C42</f>
        <v>0.8</v>
      </c>
      <c r="E42">
        <f>アイスクリームの売り上げデータ!D42</f>
        <v>3.5</v>
      </c>
      <c r="F42">
        <f>アイスクリームの売り上げデータ!E42</f>
        <v>-0.5</v>
      </c>
      <c r="G42">
        <f>アイスクリームの売り上げデータ!F42</f>
        <v>2</v>
      </c>
      <c r="H42">
        <f>アイスクリームの売り上げデータ!G42</f>
        <v>125</v>
      </c>
      <c r="I42">
        <f>重回帰の係数!$B$18*重回帰分析!C42+重回帰の係数!$B$19*重回帰分析!D42+重回帰の係数!$B$20*重回帰分析!E42+重回帰の係数!$B$21*重回帰分析!F42+重回帰の係数!$B$22*重回帰分析!G42+重回帰の係数!$B$17</f>
        <v>152.93010793651973</v>
      </c>
      <c r="J42">
        <f t="shared" si="0"/>
        <v>27.930107936519732</v>
      </c>
    </row>
    <row r="43" spans="2:10">
      <c r="B43" s="7">
        <v>43506</v>
      </c>
      <c r="C43">
        <f>IF(OR(アイスクリームの売り上げデータ!B43=1,アイスクリームの売り上げデータ!B43=7),1,0)</f>
        <v>1</v>
      </c>
      <c r="D43">
        <f>アイスクリームの売り上げデータ!C43</f>
        <v>3.5</v>
      </c>
      <c r="E43">
        <f>アイスクリームの売り上げデータ!D43</f>
        <v>7.9</v>
      </c>
      <c r="F43">
        <f>アイスクリームの売り上げデータ!E43</f>
        <v>-1.2</v>
      </c>
      <c r="G43">
        <f>アイスクリームの売り上げデータ!F43</f>
        <v>0</v>
      </c>
      <c r="H43">
        <f>アイスクリームの売り上げデータ!G43</f>
        <v>162</v>
      </c>
      <c r="I43">
        <f>重回帰の係数!$B$18*重回帰分析!C43+重回帰の係数!$B$19*重回帰分析!D43+重回帰の係数!$B$20*重回帰分析!E43+重回帰の係数!$B$21*重回帰分析!F43+重回帰の係数!$B$22*重回帰分析!G43+重回帰の係数!$B$17</f>
        <v>163.36701013973308</v>
      </c>
      <c r="J43">
        <f t="shared" si="0"/>
        <v>1.3670101397330825</v>
      </c>
    </row>
    <row r="44" spans="2:10">
      <c r="B44" s="7">
        <v>43507</v>
      </c>
      <c r="C44">
        <f>IF(OR(アイスクリームの売り上げデータ!B44=1,アイスクリームの売り上げデータ!B44=7),1,0)</f>
        <v>0</v>
      </c>
      <c r="D44">
        <f>アイスクリームの売り上げデータ!C44</f>
        <v>3</v>
      </c>
      <c r="E44">
        <f>アイスクリームの売り上げデータ!D44</f>
        <v>4.5999999999999996</v>
      </c>
      <c r="F44">
        <f>アイスクリームの売り上げデータ!E44</f>
        <v>0.4</v>
      </c>
      <c r="G44">
        <f>アイスクリームの売り上げデータ!F44</f>
        <v>0</v>
      </c>
      <c r="H44">
        <f>アイスクリームの売り上げデータ!G44</f>
        <v>81</v>
      </c>
      <c r="I44">
        <f>重回帰の係数!$B$18*重回帰分析!C44+重回帰の係数!$B$19*重回帰分析!D44+重回帰の係数!$B$20*重回帰分析!E44+重回帰の係数!$B$21*重回帰分析!F44+重回帰の係数!$B$22*重回帰分析!G44+重回帰の係数!$B$17</f>
        <v>96.961912438557448</v>
      </c>
      <c r="J44">
        <f t="shared" si="0"/>
        <v>15.961912438557448</v>
      </c>
    </row>
    <row r="45" spans="2:10">
      <c r="B45" s="7">
        <v>43508</v>
      </c>
      <c r="C45">
        <f>IF(OR(アイスクリームの売り上げデータ!B45=1,アイスクリームの売り上げデータ!B45=7),1,0)</f>
        <v>0</v>
      </c>
      <c r="D45">
        <f>アイスクリームの売り上げデータ!C45</f>
        <v>6.2</v>
      </c>
      <c r="E45">
        <f>アイスクリームの売り上げデータ!D45</f>
        <v>11.1</v>
      </c>
      <c r="F45">
        <f>アイスクリームの売り上げデータ!E45</f>
        <v>0.9</v>
      </c>
      <c r="G45">
        <f>アイスクリームの売り上げデータ!F45</f>
        <v>0</v>
      </c>
      <c r="H45">
        <f>アイスクリームの売り上げデータ!G45</f>
        <v>101</v>
      </c>
      <c r="I45">
        <f>重回帰の係数!$B$18*重回帰分析!C45+重回帰の係数!$B$19*重回帰分析!D45+重回帰の係数!$B$20*重回帰分析!E45+重回帰の係数!$B$21*重回帰分析!F45+重回帰の係数!$B$22*重回帰分析!G45+重回帰の係数!$B$17</f>
        <v>108.58522826586039</v>
      </c>
      <c r="J45">
        <f t="shared" si="0"/>
        <v>7.585228265860394</v>
      </c>
    </row>
    <row r="46" spans="2:10">
      <c r="B46" s="7">
        <v>43509</v>
      </c>
      <c r="C46">
        <f>IF(OR(アイスクリームの売り上げデータ!B46=1,アイスクリームの売り上げデータ!B46=7),1,0)</f>
        <v>0</v>
      </c>
      <c r="D46">
        <f>アイスクリームの売り上げデータ!C46</f>
        <v>5.2</v>
      </c>
      <c r="E46">
        <f>アイスクリームの売り上げデータ!D46</f>
        <v>8.6</v>
      </c>
      <c r="F46">
        <f>アイスクリームの売り上げデータ!E46</f>
        <v>3.3</v>
      </c>
      <c r="G46">
        <f>アイスクリームの売り上げデータ!F46</f>
        <v>0</v>
      </c>
      <c r="H46">
        <f>アイスクリームの売り上げデータ!G46</f>
        <v>124</v>
      </c>
      <c r="I46">
        <f>重回帰の係数!$B$18*重回帰分析!C46+重回帰の係数!$B$19*重回帰分析!D46+重回帰の係数!$B$20*重回帰分析!E46+重回帰の係数!$B$21*重回帰分析!F46+重回帰の係数!$B$22*重回帰分析!G46+重回帰の係数!$B$17</f>
        <v>106.70831679220416</v>
      </c>
      <c r="J46">
        <f t="shared" si="0"/>
        <v>17.291683207795842</v>
      </c>
    </row>
    <row r="47" spans="2:10">
      <c r="B47" s="7">
        <v>43510</v>
      </c>
      <c r="C47">
        <f>IF(OR(アイスクリームの売り上げデータ!B47=1,アイスクリームの売り上げデータ!B47=7),1,0)</f>
        <v>0</v>
      </c>
      <c r="D47">
        <f>アイスクリームの売り上げデータ!C47</f>
        <v>4.5</v>
      </c>
      <c r="E47">
        <f>アイスクリームの売り上げデータ!D47</f>
        <v>8.5</v>
      </c>
      <c r="F47">
        <f>アイスクリームの売り上げデータ!E47</f>
        <v>1.8</v>
      </c>
      <c r="G47">
        <f>アイスクリームの売り上げデータ!F47</f>
        <v>0</v>
      </c>
      <c r="H47">
        <f>アイスクリームの売り上げデータ!G47</f>
        <v>97</v>
      </c>
      <c r="I47">
        <f>重回帰の係数!$B$18*重回帰分析!C47+重回帰の係数!$B$19*重回帰分析!D47+重回帰の係数!$B$20*重回帰分析!E47+重回帰の係数!$B$21*重回帰分析!F47+重回帰の係数!$B$22*重回帰分析!G47+重回帰の係数!$B$17</f>
        <v>103.93150344869042</v>
      </c>
      <c r="J47">
        <f t="shared" si="0"/>
        <v>6.931503448690421</v>
      </c>
    </row>
    <row r="48" spans="2:10">
      <c r="B48" s="7">
        <v>43511</v>
      </c>
      <c r="C48">
        <f>IF(OR(アイスクリームの売り上げデータ!B48=1,アイスクリームの売り上げデータ!B48=7),1,0)</f>
        <v>0</v>
      </c>
      <c r="D48">
        <f>アイスクリームの売り上げデータ!C48</f>
        <v>3</v>
      </c>
      <c r="E48">
        <f>アイスクリームの売り上げデータ!D48</f>
        <v>5.3</v>
      </c>
      <c r="F48">
        <f>アイスクリームの売り上げデータ!E48</f>
        <v>0</v>
      </c>
      <c r="G48">
        <f>アイスクリームの売り上げデータ!F48</f>
        <v>0</v>
      </c>
      <c r="H48">
        <f>アイスクリームの売り上げデータ!G48</f>
        <v>98</v>
      </c>
      <c r="I48">
        <f>重回帰の係数!$B$18*重回帰分析!C48+重回帰の係数!$B$19*重回帰分析!D48+重回帰の係数!$B$20*重回帰分析!E48+重回帰の係数!$B$21*重回帰分析!F48+重回帰の係数!$B$22*重回帰分析!G48+重回帰の係数!$B$17</f>
        <v>97.11056860444404</v>
      </c>
      <c r="J48">
        <f t="shared" si="0"/>
        <v>0.88943139555595963</v>
      </c>
    </row>
    <row r="49" spans="2:10">
      <c r="B49" s="7">
        <v>43512</v>
      </c>
      <c r="C49">
        <f>IF(OR(アイスクリームの売り上げデータ!B49=1,アイスクリームの売り上げデータ!B49=7),1,0)</f>
        <v>1</v>
      </c>
      <c r="D49">
        <f>アイスクリームの売り上げデータ!C49</f>
        <v>6.8</v>
      </c>
      <c r="E49">
        <f>アイスクリームの売り上げデータ!D49</f>
        <v>13.9</v>
      </c>
      <c r="F49">
        <f>アイスクリームの売り上げデータ!E49</f>
        <v>2</v>
      </c>
      <c r="G49">
        <f>アイスクリームの売り上げデータ!F49</f>
        <v>0</v>
      </c>
      <c r="H49">
        <f>アイスクリームの売り上げデータ!G49</f>
        <v>166</v>
      </c>
      <c r="I49">
        <f>重回帰の係数!$B$18*重回帰分析!C49+重回帰の係数!$B$19*重回帰分析!D49+重回帰の係数!$B$20*重回帰分析!E49+重回帰の係数!$B$21*重回帰分析!F49+重回帰の係数!$B$22*重回帰分析!G49+重回帰の係数!$B$17</f>
        <v>177.05445179096108</v>
      </c>
      <c r="J49">
        <f t="shared" si="0"/>
        <v>11.054451790961082</v>
      </c>
    </row>
    <row r="50" spans="2:10">
      <c r="B50" s="7">
        <v>43513</v>
      </c>
      <c r="C50">
        <f>IF(OR(アイスクリームの売り上げデータ!B50=1,アイスクリームの売り上げデータ!B50=7),1,0)</f>
        <v>1</v>
      </c>
      <c r="D50">
        <f>アイスクリームの売り上げデータ!C50</f>
        <v>6.4</v>
      </c>
      <c r="E50">
        <f>アイスクリームの売り上げデータ!D50</f>
        <v>11.8</v>
      </c>
      <c r="F50">
        <f>アイスクリームの売り上げデータ!E50</f>
        <v>3.4</v>
      </c>
      <c r="G50">
        <f>アイスクリームの売り上げデータ!F50</f>
        <v>0</v>
      </c>
      <c r="H50">
        <f>アイスクリームの売り上げデータ!G50</f>
        <v>186</v>
      </c>
      <c r="I50">
        <f>重回帰の係数!$B$18*重回帰分析!C50+重回帰の係数!$B$19*重回帰分析!D50+重回帰の係数!$B$20*重回帰分析!E50+重回帰の係数!$B$21*重回帰分析!F50+重回帰の係数!$B$22*重回帰分析!G50+重回帰の係数!$B$17</f>
        <v>175.91723277428559</v>
      </c>
      <c r="J50">
        <f t="shared" si="0"/>
        <v>10.082767225714406</v>
      </c>
    </row>
    <row r="51" spans="2:10">
      <c r="B51" s="7">
        <v>43514</v>
      </c>
      <c r="C51">
        <f>IF(OR(アイスクリームの売り上げデータ!B51=1,アイスクリームの売り上げデータ!B51=7),1,0)</f>
        <v>0</v>
      </c>
      <c r="D51">
        <f>アイスクリームの売り上げデータ!C51</f>
        <v>8.1999999999999993</v>
      </c>
      <c r="E51">
        <f>アイスクリームの売り上げデータ!D51</f>
        <v>14.6</v>
      </c>
      <c r="F51">
        <f>アイスクリームの売り上げデータ!E51</f>
        <v>2</v>
      </c>
      <c r="G51">
        <f>アイスクリームの売り上げデータ!F51</f>
        <v>0</v>
      </c>
      <c r="H51">
        <f>アイスクリームの売り上げデータ!G51</f>
        <v>90</v>
      </c>
      <c r="I51">
        <f>重回帰の係数!$B$18*重回帰分析!C51+重回帰の係数!$B$19*重回帰分析!D51+重回帰の係数!$B$20*重回帰分析!E51+重回帰の係数!$B$21*重回帰分析!F51+重回帰の係数!$B$22*重回帰分析!G51+重回帰の係数!$B$17</f>
        <v>116.108132129409</v>
      </c>
      <c r="J51">
        <f t="shared" si="0"/>
        <v>26.108132129409</v>
      </c>
    </row>
    <row r="52" spans="2:10">
      <c r="B52" s="7">
        <v>43515</v>
      </c>
      <c r="C52">
        <f>IF(OR(アイスクリームの売り上げデータ!B52=1,アイスクリームの売り上げデータ!B52=7),1,0)</f>
        <v>0</v>
      </c>
      <c r="D52">
        <f>アイスクリームの売り上げデータ!C52</f>
        <v>9.1</v>
      </c>
      <c r="E52">
        <f>アイスクリームの売り上げデータ!D52</f>
        <v>12.8</v>
      </c>
      <c r="F52">
        <f>アイスクリームの売り上げデータ!E52</f>
        <v>6.1</v>
      </c>
      <c r="G52">
        <f>アイスクリームの売り上げデータ!F52</f>
        <v>1.5</v>
      </c>
      <c r="H52">
        <f>アイスクリームの売り上げデータ!G52</f>
        <v>127</v>
      </c>
      <c r="I52">
        <f>重回帰の係数!$B$18*重回帰分析!C52+重回帰の係数!$B$19*重回帰分析!D52+重回帰の係数!$B$20*重回帰分析!E52+重回帰の係数!$B$21*重回帰分析!F52+重回帰の係数!$B$22*重回帰分析!G52+重回帰の係数!$B$17</f>
        <v>118.43184256081344</v>
      </c>
      <c r="J52">
        <f t="shared" si="0"/>
        <v>8.5681574391865638</v>
      </c>
    </row>
    <row r="53" spans="2:10">
      <c r="B53" s="7">
        <v>43516</v>
      </c>
      <c r="C53">
        <f>IF(OR(アイスクリームの売り上げデータ!B53=1,アイスクリームの売り上げデータ!B53=7),1,0)</f>
        <v>0</v>
      </c>
      <c r="D53">
        <f>アイスクリームの売り上げデータ!C53</f>
        <v>11.6</v>
      </c>
      <c r="E53">
        <f>アイスクリームの売り上げデータ!D53</f>
        <v>19.5</v>
      </c>
      <c r="F53">
        <f>アイスクリームの売り上げデータ!E53</f>
        <v>5.4</v>
      </c>
      <c r="G53">
        <f>アイスクリームの売り上げデータ!F53</f>
        <v>0.5</v>
      </c>
      <c r="H53">
        <f>アイスクリームの売り上げデータ!G53</f>
        <v>165</v>
      </c>
      <c r="I53">
        <f>重回帰の係数!$B$18*重回帰分析!C53+重回帰の係数!$B$19*重回帰分析!D53+重回帰の係数!$B$20*重回帰分析!E53+重回帰の係数!$B$21*重回帰分析!F53+重回帰の係数!$B$22*重回帰分析!G53+重回帰の係数!$B$17</f>
        <v>128.86000959972006</v>
      </c>
      <c r="J53">
        <f t="shared" si="0"/>
        <v>36.139990400279942</v>
      </c>
    </row>
    <row r="54" spans="2:10">
      <c r="B54" s="7">
        <v>43517</v>
      </c>
      <c r="C54">
        <f>IF(OR(アイスクリームの売り上げデータ!B54=1,アイスクリームの売り上げデータ!B54=7),1,0)</f>
        <v>0</v>
      </c>
      <c r="D54">
        <f>アイスクリームの売り上げデータ!C54</f>
        <v>10.3</v>
      </c>
      <c r="E54">
        <f>アイスクリームの売り上げデータ!D54</f>
        <v>14.8</v>
      </c>
      <c r="F54">
        <f>アイスクリームの売り上げデータ!E54</f>
        <v>7.3</v>
      </c>
      <c r="G54">
        <f>アイスクリームの売り上げデータ!F54</f>
        <v>0</v>
      </c>
      <c r="H54">
        <f>アイスクリームの売り上げデータ!G54</f>
        <v>115</v>
      </c>
      <c r="I54">
        <f>重回帰の係数!$B$18*重回帰分析!C54+重回帰の係数!$B$19*重回帰分析!D54+重回帰の係数!$B$20*重回帰分析!E54+重回帰の係数!$B$21*重回帰分析!F54+重回帰の係数!$B$22*重回帰分析!G54+重回帰の係数!$B$17</f>
        <v>125.0194793377501</v>
      </c>
      <c r="J54">
        <f t="shared" si="0"/>
        <v>10.019479337750099</v>
      </c>
    </row>
    <row r="55" spans="2:10">
      <c r="B55" s="7">
        <v>43518</v>
      </c>
      <c r="C55">
        <f>IF(OR(アイスクリームの売り上げデータ!B55=1,アイスクリームの売り上げデータ!B55=7),1,0)</f>
        <v>0</v>
      </c>
      <c r="D55">
        <f>アイスクリームの売り上げデータ!C55</f>
        <v>9.3000000000000007</v>
      </c>
      <c r="E55">
        <f>アイスクリームの売り上げデータ!D55</f>
        <v>13.7</v>
      </c>
      <c r="F55">
        <f>アイスクリームの売り上げデータ!E55</f>
        <v>4.0999999999999996</v>
      </c>
      <c r="G55">
        <f>アイスクリームの売り上げデータ!F55</f>
        <v>0</v>
      </c>
      <c r="H55">
        <f>アイスクリームの売り上げデータ!G55</f>
        <v>125</v>
      </c>
      <c r="I55">
        <f>重回帰の係数!$B$18*重回帰分析!C55+重回帰の係数!$B$19*重回帰分析!D55+重回帰の係数!$B$20*重回帰分析!E55+重回帰の係数!$B$21*重回帰分析!F55+重回帰の係数!$B$22*重回帰分析!G55+重回帰の係数!$B$17</f>
        <v>119.5491050477263</v>
      </c>
      <c r="J55">
        <f t="shared" si="0"/>
        <v>5.4508949522736998</v>
      </c>
    </row>
    <row r="56" spans="2:10">
      <c r="B56" s="7">
        <v>43519</v>
      </c>
      <c r="C56">
        <f>IF(OR(アイスクリームの売り上げデータ!B56=1,アイスクリームの売り上げデータ!B56=7),1,0)</f>
        <v>1</v>
      </c>
      <c r="D56">
        <f>アイスクリームの売り上げデータ!C56</f>
        <v>8.9</v>
      </c>
      <c r="E56">
        <f>アイスクリームの売り上げデータ!D56</f>
        <v>14.7</v>
      </c>
      <c r="F56">
        <f>アイスクリームの売り上げデータ!E56</f>
        <v>5.6</v>
      </c>
      <c r="G56">
        <f>アイスクリームの売り上げデータ!F56</f>
        <v>0</v>
      </c>
      <c r="H56">
        <f>アイスクリームの売り上げデータ!G56</f>
        <v>173</v>
      </c>
      <c r="I56">
        <f>重回帰の係数!$B$18*重回帰分析!C56+重回帰の係数!$B$19*重回帰分析!D56+重回帰の係数!$B$20*重回帰分析!E56+重回帰の係数!$B$21*重回帰分析!F56+重回帰の係数!$B$22*重回帰分析!G56+重回帰の係数!$B$17</f>
        <v>184.99314821567708</v>
      </c>
      <c r="J56">
        <f t="shared" si="0"/>
        <v>11.993148215677081</v>
      </c>
    </row>
    <row r="57" spans="2:10">
      <c r="B57" s="7">
        <v>43520</v>
      </c>
      <c r="C57">
        <f>IF(OR(アイスクリームの売り上げデータ!B57=1,アイスクリームの売り上げデータ!B57=7),1,0)</f>
        <v>1</v>
      </c>
      <c r="D57">
        <f>アイスクリームの売り上げデータ!C57</f>
        <v>8.8000000000000007</v>
      </c>
      <c r="E57">
        <f>アイスクリームの売り上げデータ!D57</f>
        <v>13.6</v>
      </c>
      <c r="F57">
        <f>アイスクリームの売り上げデータ!E57</f>
        <v>2.2999999999999998</v>
      </c>
      <c r="G57">
        <f>アイスクリームの売り上げデータ!F57</f>
        <v>0</v>
      </c>
      <c r="H57">
        <f>アイスクリームの売り上げデータ!G57</f>
        <v>182</v>
      </c>
      <c r="I57">
        <f>重回帰の係数!$B$18*重回帰分析!C57+重回帰の係数!$B$19*重回帰分析!D57+重回帰の係数!$B$20*重回帰分析!E57+重回帰の係数!$B$21*重回帰分析!F57+重回帰の係数!$B$22*重回帰分析!G57+重回帰の係数!$B$17</f>
        <v>181.3617899479907</v>
      </c>
      <c r="J57">
        <f t="shared" si="0"/>
        <v>0.63821005200929903</v>
      </c>
    </row>
    <row r="58" spans="2:10">
      <c r="B58" s="7">
        <v>43521</v>
      </c>
      <c r="C58">
        <f>IF(OR(アイスクリームの売り上げデータ!B58=1,アイスクリームの売り上げデータ!B58=7),1,0)</f>
        <v>0</v>
      </c>
      <c r="D58">
        <f>アイスクリームの売り上げデータ!C58</f>
        <v>11.3</v>
      </c>
      <c r="E58">
        <f>アイスクリームの売り上げデータ!D58</f>
        <v>17.100000000000001</v>
      </c>
      <c r="F58">
        <f>アイスクリームの売り上げデータ!E58</f>
        <v>6.6</v>
      </c>
      <c r="G58">
        <f>アイスクリームの売り上げデータ!F58</f>
        <v>0</v>
      </c>
      <c r="H58">
        <f>アイスクリームの売り上げデータ!G58</f>
        <v>109</v>
      </c>
      <c r="I58">
        <f>重回帰の係数!$B$18*重回帰分析!C58+重回帰の係数!$B$19*重回帰分析!D58+重回帰の係数!$B$20*重回帰分析!E58+重回帰の係数!$B$21*重回帰分析!F58+重回帰の係数!$B$22*重回帰分析!G58+重回帰の係数!$B$17</f>
        <v>128.13926298259238</v>
      </c>
      <c r="J58">
        <f t="shared" si="0"/>
        <v>19.139262982592385</v>
      </c>
    </row>
    <row r="59" spans="2:10">
      <c r="B59" s="7">
        <v>43522</v>
      </c>
      <c r="C59">
        <f>IF(OR(アイスクリームの売り上げデータ!B59=1,アイスクリームの売り上げデータ!B59=7),1,0)</f>
        <v>0</v>
      </c>
      <c r="D59">
        <f>アイスクリームの売り上げデータ!C59</f>
        <v>10.199999999999999</v>
      </c>
      <c r="E59">
        <f>アイスクリームの売り上げデータ!D59</f>
        <v>12.5</v>
      </c>
      <c r="F59">
        <f>アイスクリームの売り上げデータ!E59</f>
        <v>7.8</v>
      </c>
      <c r="G59">
        <f>アイスクリームの売り上げデータ!F59</f>
        <v>0</v>
      </c>
      <c r="H59">
        <f>アイスクリームの売り上げデータ!G59</f>
        <v>116</v>
      </c>
      <c r="I59">
        <f>重回帰の係数!$B$18*重回帰分析!C59+重回帰の係数!$B$19*重回帰分析!D59+重回帰の係数!$B$20*重回帰分析!E59+重回帰の係数!$B$21*重回帰分析!F59+重回帰の係数!$B$22*重回帰分析!G59+重回帰の係数!$B$17</f>
        <v>123.65765389965897</v>
      </c>
      <c r="J59">
        <f t="shared" si="0"/>
        <v>7.6576538996589676</v>
      </c>
    </row>
    <row r="60" spans="2:10">
      <c r="B60" s="7">
        <v>43523</v>
      </c>
      <c r="C60">
        <f>IF(OR(アイスクリームの売り上げデータ!B60=1,アイスクリームの売り上げデータ!B60=7),1,0)</f>
        <v>0</v>
      </c>
      <c r="D60">
        <f>アイスクリームの売り上げデータ!C60</f>
        <v>7.7</v>
      </c>
      <c r="E60">
        <f>アイスクリームの売り上げデータ!D60</f>
        <v>10.6</v>
      </c>
      <c r="F60">
        <f>アイスクリームの売り上げデータ!E60</f>
        <v>4</v>
      </c>
      <c r="G60">
        <f>アイスクリームの売り上げデータ!F60</f>
        <v>0.5</v>
      </c>
      <c r="H60">
        <f>アイスクリームの売り上げデータ!G60</f>
        <v>143</v>
      </c>
      <c r="I60">
        <f>重回帰の係数!$B$18*重回帰分析!C60+重回帰の係数!$B$19*重回帰分析!D60+重回帰の係数!$B$20*重回帰分析!E60+重回帰の係数!$B$21*重回帰分析!F60+重回帰の係数!$B$22*重回帰分析!G60+重回帰の係数!$B$17</f>
        <v>113.3924543439456</v>
      </c>
      <c r="J60">
        <f t="shared" si="0"/>
        <v>29.607545656054398</v>
      </c>
    </row>
    <row r="61" spans="2:10">
      <c r="B61" s="7">
        <v>43524</v>
      </c>
      <c r="C61">
        <f>IF(OR(アイスクリームの売り上げデータ!B61=1,アイスクリームの売り上げデータ!B61=7),1,0)</f>
        <v>0</v>
      </c>
      <c r="D61">
        <f>アイスクリームの売り上げデータ!C61</f>
        <v>6.6</v>
      </c>
      <c r="E61">
        <f>アイスクリームの売り上げデータ!D61</f>
        <v>7.6</v>
      </c>
      <c r="F61">
        <f>アイスクリームの売り上げデータ!E61</f>
        <v>5.0999999999999996</v>
      </c>
      <c r="G61">
        <f>アイスクリームの売り上げデータ!F61</f>
        <v>22.5</v>
      </c>
      <c r="H61">
        <f>アイスクリームの売り上げデータ!G61</f>
        <v>86</v>
      </c>
      <c r="I61">
        <f>重回帰の係数!$B$18*重回帰分析!C61+重回帰の係数!$B$19*重回帰分析!D61+重回帰の係数!$B$20*重回帰分析!E61+重回帰の係数!$B$21*重回帰分析!F61+重回帰の係数!$B$22*重回帰分析!G61+重回帰の係数!$B$17</f>
        <v>84.922521506535048</v>
      </c>
      <c r="J61">
        <f t="shared" si="0"/>
        <v>1.0774784934649517</v>
      </c>
    </row>
    <row r="62" spans="2:10">
      <c r="B62" s="7">
        <v>43525</v>
      </c>
      <c r="C62">
        <f>IF(OR(アイスクリームの売り上げデータ!B62=1,アイスクリームの売り上げデータ!B62=7),1,0)</f>
        <v>0</v>
      </c>
      <c r="D62">
        <f>アイスクリームの売り上げデータ!C62</f>
        <v>8.8000000000000007</v>
      </c>
      <c r="E62">
        <f>アイスクリームの売り上げデータ!D62</f>
        <v>13.1</v>
      </c>
      <c r="F62">
        <f>アイスクリームの売り上げデータ!E62</f>
        <v>6.5</v>
      </c>
      <c r="G62">
        <f>アイスクリームの売り上げデータ!F62</f>
        <v>1.5</v>
      </c>
      <c r="H62">
        <f>アイスクリームの売り上げデータ!G62</f>
        <v>110</v>
      </c>
      <c r="I62">
        <f>重回帰の係数!$B$18*重回帰分析!C62+重回帰の係数!$B$19*重回帰分析!D62+重回帰の係数!$B$20*重回帰分析!E62+重回帰の係数!$B$21*重回帰分析!F62+重回帰の係数!$B$22*重回帰分析!G62+重回帰の係数!$B$17</f>
        <v>118.31871525118797</v>
      </c>
      <c r="J62">
        <f t="shared" si="0"/>
        <v>8.3187152511879674</v>
      </c>
    </row>
    <row r="63" spans="2:10">
      <c r="B63" s="7">
        <v>43526</v>
      </c>
      <c r="C63">
        <f>IF(OR(アイスクリームの売り上げデータ!B63=1,アイスクリームの売り上げデータ!B63=7),1,0)</f>
        <v>1</v>
      </c>
      <c r="D63">
        <f>アイスクリームの売り上げデータ!C63</f>
        <v>10.3</v>
      </c>
      <c r="E63">
        <f>アイスクリームの売り上げデータ!D63</f>
        <v>14.7</v>
      </c>
      <c r="F63">
        <f>アイスクリームの売り上げデータ!E63</f>
        <v>6.4</v>
      </c>
      <c r="G63">
        <f>アイスクリームの売り上げデータ!F63</f>
        <v>0</v>
      </c>
      <c r="H63">
        <f>アイスクリームの売り上げデータ!G63</f>
        <v>166</v>
      </c>
      <c r="I63">
        <f>重回帰の係数!$B$18*重回帰分析!C63+重回帰の係数!$B$19*重回帰分析!D63+重回帰の係数!$B$20*重回帰分析!E63+重回帰の係数!$B$21*重回帰分析!F63+重回帰の係数!$B$22*重回帰分析!G63+重回帰の係数!$B$17</f>
        <v>188.62839226602625</v>
      </c>
      <c r="J63">
        <f t="shared" si="0"/>
        <v>22.628392266026253</v>
      </c>
    </row>
    <row r="64" spans="2:10">
      <c r="B64" s="7">
        <v>43527</v>
      </c>
      <c r="C64">
        <f>IF(OR(アイスクリームの売り上げデータ!B64=1,アイスクリームの売り上げデータ!B64=7),1,0)</f>
        <v>1</v>
      </c>
      <c r="D64">
        <f>アイスクリームの売り上げデータ!C64</f>
        <v>6.5</v>
      </c>
      <c r="E64">
        <f>アイスクリームの売り上げデータ!D64</f>
        <v>10.4</v>
      </c>
      <c r="F64">
        <f>アイスクリームの売り上げデータ!E64</f>
        <v>4.4000000000000004</v>
      </c>
      <c r="G64">
        <f>アイスクリームの売り上げデータ!F64</f>
        <v>13.5</v>
      </c>
      <c r="H64">
        <f>アイスクリームの売り上げデータ!G64</f>
        <v>158</v>
      </c>
      <c r="I64">
        <f>重回帰の係数!$B$18*重回帰分析!C64+重回帰の係数!$B$19*重回帰分析!D64+重回帰の係数!$B$20*重回帰分析!E64+重回帰の係数!$B$21*重回帰分析!F64+重回帰の係数!$B$22*重回帰分析!G64+重回帰の係数!$B$17</f>
        <v>160.66173919744489</v>
      </c>
      <c r="J64">
        <f t="shared" si="0"/>
        <v>2.6617391974448878</v>
      </c>
    </row>
    <row r="65" spans="2:10">
      <c r="B65" s="7">
        <v>43528</v>
      </c>
      <c r="C65">
        <f>IF(OR(アイスクリームの売り上げデータ!B65=1,アイスクリームの売り上げデータ!B65=7),1,0)</f>
        <v>0</v>
      </c>
      <c r="D65">
        <f>アイスクリームの売り上げデータ!C65</f>
        <v>7.3</v>
      </c>
      <c r="E65">
        <f>アイスクリームの売り上げデータ!D65</f>
        <v>9.5</v>
      </c>
      <c r="F65">
        <f>アイスクリームの売り上げデータ!E65</f>
        <v>5.4</v>
      </c>
      <c r="G65">
        <f>アイスクリームの売り上げデータ!F65</f>
        <v>27.5</v>
      </c>
      <c r="H65">
        <f>アイスクリームの売り上げデータ!G65</f>
        <v>58</v>
      </c>
      <c r="I65">
        <f>重回帰の係数!$B$18*重回帰分析!C65+重回帰の係数!$B$19*重回帰分析!D65+重回帰の係数!$B$20*重回帰分析!E65+重回帰の係数!$B$21*重回帰分析!F65+重回帰の係数!$B$22*重回帰分析!G65+重回帰の係数!$B$17</f>
        <v>82.263511968598138</v>
      </c>
      <c r="J65">
        <f t="shared" si="0"/>
        <v>24.263511968598138</v>
      </c>
    </row>
    <row r="66" spans="2:10">
      <c r="B66" s="7">
        <v>43529</v>
      </c>
      <c r="C66">
        <f>IF(OR(アイスクリームの売り上げデータ!B66=1,アイスクリームの売り上げデータ!B66=7),1,0)</f>
        <v>0</v>
      </c>
      <c r="D66">
        <f>アイスクリームの売り上げデータ!C66</f>
        <v>9.6</v>
      </c>
      <c r="E66">
        <f>アイスクリームの売り上げデータ!D66</f>
        <v>15.8</v>
      </c>
      <c r="F66">
        <f>アイスクリームの売り上げデータ!E66</f>
        <v>4.3</v>
      </c>
      <c r="G66">
        <f>アイスクリームの売り上げデータ!F66</f>
        <v>0.5</v>
      </c>
      <c r="H66">
        <f>アイスクリームの売り上げデータ!G66</f>
        <v>134</v>
      </c>
      <c r="I66">
        <f>重回帰の係数!$B$18*重回帰分析!C66+重回帰の係数!$B$19*重回帰分析!D66+重回帰の係数!$B$20*重回帰分析!E66+重回帰の係数!$B$21*重回帰分析!F66+重回帰の係数!$B$22*重回帰分析!G66+重回帰の係数!$B$17</f>
        <v>121.20199504239099</v>
      </c>
      <c r="J66">
        <f t="shared" si="0"/>
        <v>12.79800495760901</v>
      </c>
    </row>
    <row r="67" spans="2:10">
      <c r="B67" s="7">
        <v>43530</v>
      </c>
      <c r="C67">
        <f>IF(OR(アイスクリームの売り上げデータ!B67=1,アイスクリームの売り上げデータ!B67=7),1,0)</f>
        <v>0</v>
      </c>
      <c r="D67">
        <f>アイスクリームの売り上げデータ!C67</f>
        <v>10.8</v>
      </c>
      <c r="E67">
        <f>アイスクリームの売り上げデータ!D67</f>
        <v>14.2</v>
      </c>
      <c r="F67">
        <f>アイスクリームの売り上げデータ!E67</f>
        <v>8</v>
      </c>
      <c r="G67">
        <f>アイスクリームの売り上げデータ!F67</f>
        <v>3</v>
      </c>
      <c r="H67">
        <f>アイスクリームの売り上げデータ!G67</f>
        <v>150</v>
      </c>
      <c r="I67">
        <f>重回帰の係数!$B$18*重回帰分析!C67+重回帰の係数!$B$19*重回帰分析!D67+重回帰の係数!$B$20*重回帰分析!E67+重回帰の係数!$B$21*重回帰分析!F67+重回帰の係数!$B$22*重回帰分析!G67+重回帰の係数!$B$17</f>
        <v>122.84078445018412</v>
      </c>
      <c r="J67">
        <f t="shared" si="0"/>
        <v>27.159215549815883</v>
      </c>
    </row>
    <row r="68" spans="2:10">
      <c r="B68" s="7">
        <v>43531</v>
      </c>
      <c r="C68">
        <f>IF(OR(アイスクリームの売り上げデータ!B68=1,アイスクリームの売り上げデータ!B68=7),1,0)</f>
        <v>0</v>
      </c>
      <c r="D68">
        <f>アイスクリームの売り上げデータ!C68</f>
        <v>8.1999999999999993</v>
      </c>
      <c r="E68">
        <f>アイスクリームの売り上げデータ!D68</f>
        <v>10.3</v>
      </c>
      <c r="F68">
        <f>アイスクリームの売り上げデータ!E68</f>
        <v>4.3</v>
      </c>
      <c r="G68">
        <f>アイスクリームの売り上げデータ!F68</f>
        <v>28</v>
      </c>
      <c r="H68">
        <f>アイスクリームの売り上げデータ!G68</f>
        <v>86</v>
      </c>
      <c r="I68">
        <f>重回帰の係数!$B$18*重回帰分析!C68+重回帰の係数!$B$19*重回帰分析!D68+重回帰の係数!$B$20*重回帰分析!E68+重回帰の係数!$B$21*重回帰分析!F68+重回帰の係数!$B$22*重回帰分析!G68+重回帰の係数!$B$17</f>
        <v>83.264480076350793</v>
      </c>
      <c r="J68">
        <f t="shared" ref="J68:J131" si="1">ABS(H68-I68)</f>
        <v>2.7355199236492069</v>
      </c>
    </row>
    <row r="69" spans="2:10">
      <c r="B69" s="7">
        <v>43532</v>
      </c>
      <c r="C69">
        <f>IF(OR(アイスクリームの売り上げデータ!B69=1,アイスクリームの売り上げデータ!B69=7),1,0)</f>
        <v>0</v>
      </c>
      <c r="D69">
        <f>アイスクリームの売り上げデータ!C69</f>
        <v>7.3</v>
      </c>
      <c r="E69">
        <f>アイスクリームの売り上げデータ!D69</f>
        <v>12.5</v>
      </c>
      <c r="F69">
        <f>アイスクリームの売り上げデータ!E69</f>
        <v>3.9</v>
      </c>
      <c r="G69">
        <f>アイスクリームの売り上げデータ!F69</f>
        <v>0</v>
      </c>
      <c r="H69">
        <f>アイスクリームの売り上げデータ!G69</f>
        <v>126</v>
      </c>
      <c r="I69">
        <f>重回帰の係数!$B$18*重回帰分析!C69+重回帰の係数!$B$19*重回帰分析!D69+重回帰の係数!$B$20*重回帰分析!E69+重回帰の係数!$B$21*重回帰分析!F69+重回帰の係数!$B$22*重回帰分析!G69+重回帰の係数!$B$17</f>
        <v>114.30949450292945</v>
      </c>
      <c r="J69">
        <f t="shared" si="1"/>
        <v>11.690505497070546</v>
      </c>
    </row>
    <row r="70" spans="2:10">
      <c r="B70" s="7">
        <v>43533</v>
      </c>
      <c r="C70">
        <f>IF(OR(アイスクリームの売り上げデータ!B70=1,アイスクリームの売り上げデータ!B70=7),1,0)</f>
        <v>1</v>
      </c>
      <c r="D70">
        <f>アイスクリームの売り上げデータ!C70</f>
        <v>10</v>
      </c>
      <c r="E70">
        <f>アイスクリームの売り上げデータ!D70</f>
        <v>16.899999999999999</v>
      </c>
      <c r="F70">
        <f>アイスクリームの売り上げデータ!E70</f>
        <v>2.2999999999999998</v>
      </c>
      <c r="G70">
        <f>アイスクリームの売り上げデータ!F70</f>
        <v>0</v>
      </c>
      <c r="H70">
        <f>アイスクリームの売り上げデータ!G70</f>
        <v>154</v>
      </c>
      <c r="I70">
        <f>重回帰の係数!$B$18*重回帰分析!C70+重回帰の係数!$B$19*重回帰分析!D70+重回帰の係数!$B$20*重回帰分析!E70+重回帰の係数!$B$21*重回帰分析!F70+重回帰の係数!$B$22*重回帰分析!G70+重回帰の係数!$B$17</f>
        <v>186.15121484593328</v>
      </c>
      <c r="J70">
        <f t="shared" si="1"/>
        <v>32.151214845933282</v>
      </c>
    </row>
    <row r="71" spans="2:10">
      <c r="B71" s="7">
        <v>43534</v>
      </c>
      <c r="C71">
        <f>IF(OR(アイスクリームの売り上げデータ!B71=1,アイスクリームの売り上げデータ!B71=7),1,0)</f>
        <v>1</v>
      </c>
      <c r="D71">
        <f>アイスクリームの売り上げデータ!C71</f>
        <v>12.5</v>
      </c>
      <c r="E71">
        <f>アイスクリームの売り上げデータ!D71</f>
        <v>16.399999999999999</v>
      </c>
      <c r="F71">
        <f>アイスクリームの売り上げデータ!E71</f>
        <v>6.9</v>
      </c>
      <c r="G71">
        <f>アイスクリームの売り上げデータ!F71</f>
        <v>6.5</v>
      </c>
      <c r="H71">
        <f>アイスクリームの売り上げデータ!G71</f>
        <v>207</v>
      </c>
      <c r="I71">
        <f>重回帰の係数!$B$18*重回帰分析!C71+重回帰の係数!$B$19*重回帰分析!D71+重回帰の係数!$B$20*重回帰分析!E71+重回帰の係数!$B$21*重回帰分析!F71+重回帰の係数!$B$22*重回帰分析!G71+重回帰の係数!$B$17</f>
        <v>187.4927731271556</v>
      </c>
      <c r="J71">
        <f t="shared" si="1"/>
        <v>19.507226872844399</v>
      </c>
    </row>
    <row r="72" spans="2:10">
      <c r="B72" s="7">
        <v>43535</v>
      </c>
      <c r="C72">
        <f>IF(OR(アイスクリームの売り上げデータ!B72=1,アイスクリームの売り上げデータ!B72=7),1,0)</f>
        <v>0</v>
      </c>
      <c r="D72">
        <f>アイスクリームの売り上げデータ!C72</f>
        <v>12.3</v>
      </c>
      <c r="E72">
        <f>アイスクリームの売り上げデータ!D72</f>
        <v>17.8</v>
      </c>
      <c r="F72">
        <f>アイスクリームの売り上げデータ!E72</f>
        <v>9.4</v>
      </c>
      <c r="G72">
        <f>アイスクリームの売り上げデータ!F72</f>
        <v>32</v>
      </c>
      <c r="H72">
        <f>アイスクリームの売り上げデータ!G72</f>
        <v>79</v>
      </c>
      <c r="I72">
        <f>重回帰の係数!$B$18*重回帰分析!C72+重回帰の係数!$B$19*重回帰分析!D72+重回帰の係数!$B$20*重回帰分析!E72+重回帰の係数!$B$21*重回帰分析!F72+重回帰の係数!$B$22*重回帰分析!G72+重回帰の係数!$B$17</f>
        <v>96.668782456696221</v>
      </c>
      <c r="J72">
        <f t="shared" si="1"/>
        <v>17.668782456696221</v>
      </c>
    </row>
    <row r="73" spans="2:10">
      <c r="B73" s="7">
        <v>43536</v>
      </c>
      <c r="C73">
        <f>IF(OR(アイスクリームの売り上げデータ!B73=1,アイスクリームの売り上げデータ!B73=7),1,0)</f>
        <v>0</v>
      </c>
      <c r="D73">
        <f>アイスクリームの売り上げデータ!C73</f>
        <v>12.4</v>
      </c>
      <c r="E73">
        <f>アイスクリームの売り上げデータ!D73</f>
        <v>17.100000000000001</v>
      </c>
      <c r="F73">
        <f>アイスクリームの売り上げデータ!E73</f>
        <v>8.3000000000000007</v>
      </c>
      <c r="G73">
        <f>アイスクリームの売り上げデータ!F73</f>
        <v>0</v>
      </c>
      <c r="H73">
        <f>アイスクリームの売り上げデータ!G73</f>
        <v>132</v>
      </c>
      <c r="I73">
        <f>重回帰の係数!$B$18*重回帰分析!C73+重回帰の係数!$B$19*重回帰分析!D73+重回帰の係数!$B$20*重回帰分析!E73+重回帰の係数!$B$21*重回帰分析!F73+重回帰の係数!$B$22*重回帰分析!G73+重回帰の係数!$B$17</f>
        <v>131.86400276057671</v>
      </c>
      <c r="J73">
        <f t="shared" si="1"/>
        <v>0.13599723942328978</v>
      </c>
    </row>
    <row r="74" spans="2:10">
      <c r="B74" s="7">
        <v>43537</v>
      </c>
      <c r="C74">
        <f>IF(OR(アイスクリームの売り上げデータ!B74=1,アイスクリームの売り上げデータ!B74=7),1,0)</f>
        <v>0</v>
      </c>
      <c r="D74">
        <f>アイスクリームの売り上げデータ!C74</f>
        <v>11.7</v>
      </c>
      <c r="E74">
        <f>アイスクリームの売り上げデータ!D74</f>
        <v>19.100000000000001</v>
      </c>
      <c r="F74">
        <f>アイスクリームの売り上げデータ!E74</f>
        <v>5.6</v>
      </c>
      <c r="G74">
        <f>アイスクリームの売り上げデータ!F74</f>
        <v>0</v>
      </c>
      <c r="H74">
        <f>アイスクリームの売り上げデータ!G74</f>
        <v>140</v>
      </c>
      <c r="I74">
        <f>重回帰の係数!$B$18*重回帰分析!C74+重回帰の係数!$B$19*重回帰分析!D74+重回帰の係数!$B$20*重回帰分析!E74+重回帰の係数!$B$21*重回帰分析!F74+重回帰の係数!$B$22*重回帰分析!G74+重回帰の係数!$B$17</f>
        <v>129.53315791472272</v>
      </c>
      <c r="J74">
        <f t="shared" si="1"/>
        <v>10.466842085277278</v>
      </c>
    </row>
    <row r="75" spans="2:10">
      <c r="B75" s="7">
        <v>43538</v>
      </c>
      <c r="C75">
        <f>IF(OR(アイスクリームの売り上げデータ!B75=1,アイスクリームの売り上げデータ!B75=7),1,0)</f>
        <v>0</v>
      </c>
      <c r="D75">
        <f>アイスクリームの売り上げデータ!C75</f>
        <v>8.4</v>
      </c>
      <c r="E75">
        <f>アイスクリームの売り上げデータ!D75</f>
        <v>14.3</v>
      </c>
      <c r="F75">
        <f>アイスクリームの売り上げデータ!E75</f>
        <v>3.3</v>
      </c>
      <c r="G75">
        <f>アイスクリームの売り上げデータ!F75</f>
        <v>0</v>
      </c>
      <c r="H75">
        <f>アイスクリームの売り上げデータ!G75</f>
        <v>109</v>
      </c>
      <c r="I75">
        <f>重回帰の係数!$B$18*重回帰分析!C75+重回帰の係数!$B$19*重回帰分析!D75+重回帰の係数!$B$20*重回帰分析!E75+重回帰の係数!$B$21*重回帰分析!F75+重回帰の係数!$B$22*重回帰分析!G75+重回帰の係数!$B$17</f>
        <v>117.3859007664539</v>
      </c>
      <c r="J75">
        <f t="shared" si="1"/>
        <v>8.3859007664539007</v>
      </c>
    </row>
    <row r="76" spans="2:10">
      <c r="B76" s="7">
        <v>43539</v>
      </c>
      <c r="C76">
        <f>IF(OR(アイスクリームの売り上げデータ!B76=1,アイスクリームの売り上げデータ!B76=7),1,0)</f>
        <v>0</v>
      </c>
      <c r="D76">
        <f>アイスクリームの売り上げデータ!C76</f>
        <v>9.6999999999999993</v>
      </c>
      <c r="E76">
        <f>アイスクリームの売り上げデータ!D76</f>
        <v>15</v>
      </c>
      <c r="F76">
        <f>アイスクリームの売り上げデータ!E76</f>
        <v>4.0999999999999996</v>
      </c>
      <c r="G76">
        <f>アイスクリームの売り上げデータ!F76</f>
        <v>0</v>
      </c>
      <c r="H76">
        <f>アイスクリームの売り上げデータ!G76</f>
        <v>120</v>
      </c>
      <c r="I76">
        <f>重回帰の係数!$B$18*重回帰分析!C76+重回帰の係数!$B$19*重回帰分析!D76+重回帰の係数!$B$20*重回帰分析!E76+重回帰の係数!$B$21*重回帰分析!F76+重回帰の係数!$B$22*重回帰分析!G76+重回帰の係数!$B$17</f>
        <v>121.28069070748762</v>
      </c>
      <c r="J76">
        <f t="shared" si="1"/>
        <v>1.2806907074876221</v>
      </c>
    </row>
    <row r="77" spans="2:10">
      <c r="B77" s="7">
        <v>43540</v>
      </c>
      <c r="C77">
        <f>IF(OR(アイスクリームの売り上げデータ!B77=1,アイスクリームの売り上げデータ!B77=7),1,0)</f>
        <v>1</v>
      </c>
      <c r="D77">
        <f>アイスクリームの売り上げデータ!C77</f>
        <v>8.9</v>
      </c>
      <c r="E77">
        <f>アイスクリームの売り上げデータ!D77</f>
        <v>13.9</v>
      </c>
      <c r="F77">
        <f>アイスクリームの売り上げデータ!E77</f>
        <v>6.4</v>
      </c>
      <c r="G77">
        <f>アイスクリームの売り上げデータ!F77</f>
        <v>0</v>
      </c>
      <c r="H77">
        <f>アイスクリームの売り上げデータ!G77</f>
        <v>164</v>
      </c>
      <c r="I77">
        <f>重回帰の係数!$B$18*重回帰分析!C77+重回帰の係数!$B$19*重回帰分析!D77+重回帰の係数!$B$20*重回帰分析!E77+重回帰の係数!$B$21*重回帰分析!F77+重回帰の係数!$B$22*重回帰分析!G77+重回帰の係数!$B$17</f>
        <v>185.10116796524534</v>
      </c>
      <c r="J77">
        <f t="shared" si="1"/>
        <v>21.101167965245338</v>
      </c>
    </row>
    <row r="78" spans="2:10">
      <c r="B78" s="7">
        <v>43541</v>
      </c>
      <c r="C78">
        <f>IF(OR(アイスクリームの売り上げデータ!B78=1,アイスクリームの売り上げデータ!B78=7),1,0)</f>
        <v>1</v>
      </c>
      <c r="D78">
        <f>アイスクリームの売り上げデータ!C78</f>
        <v>9.1</v>
      </c>
      <c r="E78">
        <f>アイスクリームの売り上げデータ!D78</f>
        <v>15.3</v>
      </c>
      <c r="F78">
        <f>アイスクリームの売り上げデータ!E78</f>
        <v>3.5</v>
      </c>
      <c r="G78">
        <f>アイスクリームの売り上げデータ!F78</f>
        <v>0</v>
      </c>
      <c r="H78">
        <f>アイスクリームの売り上げデータ!G78</f>
        <v>222</v>
      </c>
      <c r="I78">
        <f>重回帰の係数!$B$18*重回帰分析!C78+重回帰の係数!$B$19*重回帰分析!D78+重回帰の係数!$B$20*重回帰分析!E78+重回帰の係数!$B$21*重回帰分析!F78+重回帰の係数!$B$22*重回帰分析!G78+重回帰の係数!$B$17</f>
        <v>184.12294924480108</v>
      </c>
      <c r="J78">
        <f t="shared" si="1"/>
        <v>37.877050755198923</v>
      </c>
    </row>
    <row r="79" spans="2:10">
      <c r="B79" s="7">
        <v>43542</v>
      </c>
      <c r="C79">
        <f>IF(OR(アイスクリームの売り上げデータ!B79=1,アイスクリームの売り上げデータ!B79=7),1,0)</f>
        <v>0</v>
      </c>
      <c r="D79">
        <f>アイスクリームの売り上げデータ!C79</f>
        <v>9.6999999999999993</v>
      </c>
      <c r="E79">
        <f>アイスクリームの売り上げデータ!D79</f>
        <v>14.5</v>
      </c>
      <c r="F79">
        <f>アイスクリームの売り上げデータ!E79</f>
        <v>4.0999999999999996</v>
      </c>
      <c r="G79">
        <f>アイスクリームの売り上げデータ!F79</f>
        <v>0</v>
      </c>
      <c r="H79">
        <f>アイスクリームの売り上げデータ!G79</f>
        <v>100</v>
      </c>
      <c r="I79">
        <f>重回帰の係数!$B$18*重回帰分析!C79+重回帰の係数!$B$19*重回帰分析!D79+重回帰の係数!$B$20*重回帰分析!E79+重回帰の係数!$B$21*重回帰分析!F79+重回帰の係数!$B$22*重回帰分析!G79+重回帰の係数!$B$17</f>
        <v>120.94291397303647</v>
      </c>
      <c r="J79">
        <f t="shared" si="1"/>
        <v>20.942913973036468</v>
      </c>
    </row>
    <row r="80" spans="2:10">
      <c r="B80" s="7">
        <v>43543</v>
      </c>
      <c r="C80">
        <f>IF(OR(アイスクリームの売り上げデータ!B80=1,アイスクリームの売り上げデータ!B80=7),1,0)</f>
        <v>0</v>
      </c>
      <c r="D80">
        <f>アイスクリームの売り上げデータ!C80</f>
        <v>13.2</v>
      </c>
      <c r="E80">
        <f>アイスクリームの売り上げデータ!D80</f>
        <v>19.2</v>
      </c>
      <c r="F80">
        <f>アイスクリームの売り上げデータ!E80</f>
        <v>6.3</v>
      </c>
      <c r="G80">
        <f>アイスクリームの売り上げデータ!F80</f>
        <v>0</v>
      </c>
      <c r="H80">
        <f>アイスクリームの売り上げデータ!G80</f>
        <v>134</v>
      </c>
      <c r="I80">
        <f>重回帰の係数!$B$18*重回帰分析!C80+重回帰の係数!$B$19*重回帰分析!D80+重回帰の係数!$B$20*重回帰分析!E80+重回帰の係数!$B$21*重回帰分析!F80+重回帰の係数!$B$22*重回帰分析!G80+重回帰の係数!$B$17</f>
        <v>133.36824103392291</v>
      </c>
      <c r="J80">
        <f t="shared" si="1"/>
        <v>0.63175896607708637</v>
      </c>
    </row>
    <row r="81" spans="2:10">
      <c r="B81" s="7">
        <v>43544</v>
      </c>
      <c r="C81">
        <f>IF(OR(アイスクリームの売り上げデータ!B81=1,アイスクリームの売り上げデータ!B81=7),1,0)</f>
        <v>0</v>
      </c>
      <c r="D81">
        <f>アイスクリームの売り上げデータ!C81</f>
        <v>15</v>
      </c>
      <c r="E81">
        <f>アイスクリームの売り上げデータ!D81</f>
        <v>21.5</v>
      </c>
      <c r="F81">
        <f>アイスクリームの売り上げデータ!E81</f>
        <v>8.5</v>
      </c>
      <c r="G81">
        <f>アイスクリームの売り上げデータ!F81</f>
        <v>0</v>
      </c>
      <c r="H81">
        <f>アイスクリームの売り上げデータ!G81</f>
        <v>158</v>
      </c>
      <c r="I81">
        <f>重回帰の係数!$B$18*重回帰分析!C81+重回帰の係数!$B$19*重回帰分析!D81+重回帰の係数!$B$20*重回帰分析!E81+重回帰の係数!$B$21*重回帰分析!F81+重回帰の係数!$B$22*重回帰分析!G81+重回帰の係数!$B$17</f>
        <v>140.54543363114348</v>
      </c>
      <c r="J81">
        <f t="shared" si="1"/>
        <v>17.454566368856518</v>
      </c>
    </row>
    <row r="82" spans="2:10">
      <c r="B82" s="7">
        <v>43545</v>
      </c>
      <c r="C82">
        <f>IF(OR(アイスクリームの売り上げデータ!B82=1,アイスクリームの売り上げデータ!B82=7),1,0)</f>
        <v>0</v>
      </c>
      <c r="D82">
        <f>アイスクリームの売り上げデータ!C82</f>
        <v>17.7</v>
      </c>
      <c r="E82">
        <f>アイスクリームの売り上げデータ!D82</f>
        <v>22.3</v>
      </c>
      <c r="F82">
        <f>アイスクリームの売り上げデータ!E82</f>
        <v>13.9</v>
      </c>
      <c r="G82">
        <f>アイスクリームの売り上げデータ!F82</f>
        <v>0</v>
      </c>
      <c r="H82">
        <f>アイスクリームの売り上げデータ!G82</f>
        <v>140</v>
      </c>
      <c r="I82">
        <f>重回帰の係数!$B$18*重回帰分析!C82+重回帰の係数!$B$19*重回帰分析!D82+重回帰の係数!$B$20*重回帰分析!E82+重回帰の係数!$B$21*重回帰分析!F82+重回帰の係数!$B$22*重回帰分析!G82+重回帰の係数!$B$17</f>
        <v>151.2232199616947</v>
      </c>
      <c r="J82">
        <f t="shared" si="1"/>
        <v>11.223219961694696</v>
      </c>
    </row>
    <row r="83" spans="2:10">
      <c r="B83" s="7">
        <v>43546</v>
      </c>
      <c r="C83">
        <f>IF(OR(アイスクリームの売り上げデータ!B83=1,アイスクリームの売り上げデータ!B83=7),1,0)</f>
        <v>0</v>
      </c>
      <c r="D83">
        <f>アイスクリームの売り上げデータ!C83</f>
        <v>16.2</v>
      </c>
      <c r="E83">
        <f>アイスクリームの売り上げデータ!D83</f>
        <v>23.9</v>
      </c>
      <c r="F83">
        <f>アイスクリームの売り上げデータ!E83</f>
        <v>8.6999999999999993</v>
      </c>
      <c r="G83">
        <f>アイスクリームの売り上げデータ!F83</f>
        <v>0</v>
      </c>
      <c r="H83">
        <f>アイスクリームの売り上げデータ!G83</f>
        <v>136</v>
      </c>
      <c r="I83">
        <f>重回帰の係数!$B$18*重回帰分析!C83+重回帰の係数!$B$19*重回帰分析!D83+重回帰の係数!$B$20*重回帰分析!E83+重回帰の係数!$B$21*重回帰分析!F83+重回帰の係数!$B$22*重回帰分析!G83+重回帰の係数!$B$17</f>
        <v>144.88897603824654</v>
      </c>
      <c r="J83">
        <f t="shared" si="1"/>
        <v>8.8889760382465397</v>
      </c>
    </row>
    <row r="84" spans="2:10">
      <c r="B84" s="7">
        <v>43547</v>
      </c>
      <c r="C84">
        <f>IF(OR(アイスクリームの売り上げデータ!B84=1,アイスクリームの売り上げデータ!B84=7),1,0)</f>
        <v>1</v>
      </c>
      <c r="D84">
        <f>アイスクリームの売り上げデータ!C84</f>
        <v>7.1</v>
      </c>
      <c r="E84">
        <f>アイスクリームの売り上げデータ!D84</f>
        <v>9</v>
      </c>
      <c r="F84">
        <f>アイスクリームの売り上げデータ!E84</f>
        <v>4.4000000000000004</v>
      </c>
      <c r="G84">
        <f>アイスクリームの売り上げデータ!F84</f>
        <v>0</v>
      </c>
      <c r="H84">
        <f>アイスクリームの売り上げデータ!G84</f>
        <v>156</v>
      </c>
      <c r="I84">
        <f>重回帰の係数!$B$18*重回帰分析!C84+重回帰の係数!$B$19*重回帰分析!D84+重回帰の係数!$B$20*重回帰分析!E84+重回帰の係数!$B$21*重回帰分析!F84+重回帰の係数!$B$22*重回帰分析!G84+重回帰の係数!$B$17</f>
        <v>176.32965198005121</v>
      </c>
      <c r="J84">
        <f t="shared" si="1"/>
        <v>20.32965198005121</v>
      </c>
    </row>
    <row r="85" spans="2:10">
      <c r="B85" s="7">
        <v>43548</v>
      </c>
      <c r="C85">
        <f>IF(OR(アイスクリームの売り上げデータ!B85=1,アイスクリームの売り上げデータ!B85=7),1,0)</f>
        <v>1</v>
      </c>
      <c r="D85">
        <f>アイスクリームの売り上げデータ!C85</f>
        <v>8.1999999999999993</v>
      </c>
      <c r="E85">
        <f>アイスクリームの売り上げデータ!D85</f>
        <v>15.4</v>
      </c>
      <c r="F85">
        <f>アイスクリームの売り上げデータ!E85</f>
        <v>1.1000000000000001</v>
      </c>
      <c r="G85">
        <f>アイスクリームの売り上げデータ!F85</f>
        <v>0</v>
      </c>
      <c r="H85">
        <f>アイスクリームの売り上げデータ!G85</f>
        <v>218</v>
      </c>
      <c r="I85">
        <f>重回帰の係数!$B$18*重回帰分析!C85+重回帰の係数!$B$19*重回帰分析!D85+重回帰の係数!$B$20*重回帰分析!E85+重回帰の係数!$B$21*重回帰分析!F85+重回帰の係数!$B$22*重回帰分析!G85+重回帰の係数!$B$17</f>
        <v>180.32504317969727</v>
      </c>
      <c r="J85">
        <f t="shared" si="1"/>
        <v>37.674956820302725</v>
      </c>
    </row>
    <row r="86" spans="2:10">
      <c r="B86" s="7">
        <v>43549</v>
      </c>
      <c r="C86">
        <f>IF(OR(アイスクリームの売り上げデータ!B86=1,アイスクリームの売り上げデータ!B86=7),1,0)</f>
        <v>0</v>
      </c>
      <c r="D86">
        <f>アイスクリームの売り上げデータ!C86</f>
        <v>9.9</v>
      </c>
      <c r="E86">
        <f>アイスクリームの売り上げデータ!D86</f>
        <v>15</v>
      </c>
      <c r="F86">
        <f>アイスクリームの売り上げデータ!E86</f>
        <v>3.9</v>
      </c>
      <c r="G86">
        <f>アイスクリームの売り上げデータ!F86</f>
        <v>0</v>
      </c>
      <c r="H86">
        <f>アイスクリームの売り上げデータ!G86</f>
        <v>91</v>
      </c>
      <c r="I86">
        <f>重回帰の係数!$B$18*重回帰分析!C86+重回帰の係数!$B$19*重回帰分析!D86+重回帰の係数!$B$20*重回帰分析!E86+重回帰の係数!$B$21*重回帰分析!F86+重回帰の係数!$B$22*重回帰分析!G86+重回帰の係数!$B$17</f>
        <v>121.54525815140926</v>
      </c>
      <c r="J86">
        <f t="shared" si="1"/>
        <v>30.545258151409257</v>
      </c>
    </row>
    <row r="87" spans="2:10">
      <c r="B87" s="7">
        <v>43550</v>
      </c>
      <c r="C87">
        <f>IF(OR(アイスクリームの売り上げデータ!B87=1,アイスクリームの売り上げデータ!B87=7),1,0)</f>
        <v>0</v>
      </c>
      <c r="D87">
        <f>アイスクリームの売り上げデータ!C87</f>
        <v>11.9</v>
      </c>
      <c r="E87">
        <f>アイスクリームの売り上げデータ!D87</f>
        <v>15.9</v>
      </c>
      <c r="F87">
        <f>アイスクリームの売り上げデータ!E87</f>
        <v>9.6999999999999993</v>
      </c>
      <c r="G87">
        <f>アイスクリームの売り上げデータ!F87</f>
        <v>0</v>
      </c>
      <c r="H87">
        <f>アイスクリームの売り上げデータ!G87</f>
        <v>126</v>
      </c>
      <c r="I87">
        <f>重回帰の係数!$B$18*重回帰分析!C87+重回帰の係数!$B$19*重回帰分析!D87+重回帰の係数!$B$20*重回帰分析!E87+重回帰の係数!$B$21*重回帰分析!F87+重回帰の係数!$B$22*重回帰分析!G87+重回帰の係数!$B$17</f>
        <v>131.12144032836625</v>
      </c>
      <c r="J87">
        <f t="shared" si="1"/>
        <v>5.1214403283662477</v>
      </c>
    </row>
    <row r="88" spans="2:10">
      <c r="B88" s="7">
        <v>43551</v>
      </c>
      <c r="C88">
        <f>IF(OR(アイスクリームの売り上げデータ!B88=1,アイスクリームの売り上げデータ!B88=7),1,0)</f>
        <v>0</v>
      </c>
      <c r="D88">
        <f>アイスクリームの売り上げデータ!C88</f>
        <v>14.2</v>
      </c>
      <c r="E88">
        <f>アイスクリームの売り上げデータ!D88</f>
        <v>19.7</v>
      </c>
      <c r="F88">
        <f>アイスクリームの売り上げデータ!E88</f>
        <v>7.3</v>
      </c>
      <c r="G88">
        <f>アイスクリームの売り上げデータ!F88</f>
        <v>0</v>
      </c>
      <c r="H88">
        <f>アイスクリームの売り上げデータ!G88</f>
        <v>162</v>
      </c>
      <c r="I88">
        <f>重回帰の係数!$B$18*重回帰分析!C88+重回帰の係数!$B$19*重回帰分析!D88+重回帰の係数!$B$20*重回帰分析!E88+重回帰の係数!$B$21*重回帰分析!F88+重回帰の係数!$B$22*重回帰分析!G88+重回帰の係数!$B$17</f>
        <v>136.6500112997075</v>
      </c>
      <c r="J88">
        <f t="shared" si="1"/>
        <v>25.349988700292499</v>
      </c>
    </row>
    <row r="89" spans="2:10">
      <c r="B89" s="7">
        <v>43552</v>
      </c>
      <c r="C89">
        <f>IF(OR(アイスクリームの売り上げデータ!B89=1,アイスクリームの売り上げデータ!B89=7),1,0)</f>
        <v>0</v>
      </c>
      <c r="D89">
        <f>アイスクリームの売り上げデータ!C89</f>
        <v>13.6</v>
      </c>
      <c r="E89">
        <f>アイスクリームの売り上げデータ!D89</f>
        <v>16.899999999999999</v>
      </c>
      <c r="F89">
        <f>アイスクリームの売り上げデータ!E89</f>
        <v>9</v>
      </c>
      <c r="G89">
        <f>アイスクリームの売り上げデータ!F89</f>
        <v>0</v>
      </c>
      <c r="H89">
        <f>アイスクリームの売り上げデータ!G89</f>
        <v>137</v>
      </c>
      <c r="I89">
        <f>重回帰の係数!$B$18*重回帰分析!C89+重回帰の係数!$B$19*重回帰分析!D89+重回帰の係数!$B$20*重回帰分析!E89+重回帰の係数!$B$21*重回帰分析!F89+重回帰の係数!$B$22*重回帰分析!G89+重回帰の係数!$B$17</f>
        <v>134.856395226465</v>
      </c>
      <c r="J89">
        <f t="shared" si="1"/>
        <v>2.143604773535003</v>
      </c>
    </row>
    <row r="90" spans="2:10">
      <c r="B90" s="7">
        <v>43553</v>
      </c>
      <c r="C90">
        <f>IF(OR(アイスクリームの売り上げデータ!B90=1,アイスクリームの売り上げデータ!B90=7),1,0)</f>
        <v>0</v>
      </c>
      <c r="D90">
        <f>アイスクリームの売り上げデータ!C90</f>
        <v>7.7</v>
      </c>
      <c r="E90">
        <f>アイスクリームの売り上げデータ!D90</f>
        <v>9.3000000000000007</v>
      </c>
      <c r="F90">
        <f>アイスクリームの売り上げデータ!E90</f>
        <v>6.8</v>
      </c>
      <c r="G90">
        <f>アイスクリームの売り上げデータ!F90</f>
        <v>0</v>
      </c>
      <c r="H90">
        <f>アイスクリームの売り上げデータ!G90</f>
        <v>105</v>
      </c>
      <c r="I90">
        <f>重回帰の係数!$B$18*重回帰分析!C90+重回帰の係数!$B$19*重回帰分析!D90+重回帰の係数!$B$20*重回帰分析!E90+重回帰の係数!$B$21*重回帰分析!F90+重回帰の係数!$B$22*重回帰分析!G90+重回帰の係数!$B$17</f>
        <v>115.35176620463196</v>
      </c>
      <c r="J90">
        <f t="shared" si="1"/>
        <v>10.351766204631957</v>
      </c>
    </row>
    <row r="91" spans="2:10">
      <c r="B91" s="7">
        <v>43554</v>
      </c>
      <c r="C91">
        <f>IF(OR(アイスクリームの売り上げデータ!B91=1,アイスクリームの売り上げデータ!B91=7),1,0)</f>
        <v>1</v>
      </c>
      <c r="D91">
        <f>アイスクリームの売り上げデータ!C91</f>
        <v>8.6999999999999993</v>
      </c>
      <c r="E91">
        <f>アイスクリームの売り上げデータ!D91</f>
        <v>11.7</v>
      </c>
      <c r="F91">
        <f>アイスクリームの売り上げデータ!E91</f>
        <v>7.2</v>
      </c>
      <c r="G91">
        <f>アイスクリームの売り上げデータ!F91</f>
        <v>3.5</v>
      </c>
      <c r="H91">
        <f>アイスクリームの売り上げデータ!G91</f>
        <v>171</v>
      </c>
      <c r="I91">
        <f>重回帰の係数!$B$18*重回帰分析!C91+重回帰の係数!$B$19*重回帰分析!D91+重回帰の係数!$B$20*重回帰分析!E91+重回帰の係数!$B$21*重回帰分析!F91+重回帰の係数!$B$22*重回帰分析!G91+重回帰の係数!$B$17</f>
        <v>179.86134204634837</v>
      </c>
      <c r="J91">
        <f t="shared" si="1"/>
        <v>8.8613420463483692</v>
      </c>
    </row>
    <row r="92" spans="2:10">
      <c r="B92" s="7">
        <v>43555</v>
      </c>
      <c r="C92">
        <f>IF(OR(アイスクリームの売り上げデータ!B92=1,アイスクリームの売り上げデータ!B92=7),1,0)</f>
        <v>1</v>
      </c>
      <c r="D92">
        <f>アイスクリームの売り上げデータ!C92</f>
        <v>10.5</v>
      </c>
      <c r="E92">
        <f>アイスクリームの売り上げデータ!D92</f>
        <v>16.3</v>
      </c>
      <c r="F92">
        <f>アイスクリームの売り上げデータ!E92</f>
        <v>7.3</v>
      </c>
      <c r="G92">
        <f>アイスクリームの売り上げデータ!F92</f>
        <v>1.5</v>
      </c>
      <c r="H92">
        <f>アイスクリームの売り上げデータ!G92</f>
        <v>220</v>
      </c>
      <c r="I92">
        <f>重回帰の係数!$B$18*重回帰分析!C92+重回帰の係数!$B$19*重回帰分析!D92+重回帰の係数!$B$20*重回帰分析!E92+重回帰の係数!$B$21*重回帰分析!F92+重回帰の係数!$B$22*重回帰分析!G92+重回帰の係数!$B$17</f>
        <v>189.16174363010862</v>
      </c>
      <c r="J92">
        <f t="shared" si="1"/>
        <v>30.838256369891383</v>
      </c>
    </row>
    <row r="93" spans="2:10">
      <c r="B93" s="7">
        <v>43556</v>
      </c>
      <c r="C93">
        <f>IF(OR(アイスクリームの売り上げデータ!B93=1,アイスクリームの売り上げデータ!B93=7),1,0)</f>
        <v>0</v>
      </c>
      <c r="D93">
        <f>アイスクリームの売り上げデータ!C93</f>
        <v>8.8000000000000007</v>
      </c>
      <c r="E93">
        <f>アイスクリームの売り上げデータ!D93</f>
        <v>16.2</v>
      </c>
      <c r="F93">
        <f>アイスクリームの売り上げデータ!E93</f>
        <v>4.2</v>
      </c>
      <c r="G93">
        <f>アイスクリームの売り上げデータ!F93</f>
        <v>5.5</v>
      </c>
      <c r="H93">
        <f>アイスクリームの売り上げデータ!G93</f>
        <v>89</v>
      </c>
      <c r="I93">
        <f>重回帰の係数!$B$18*重回帰分析!C93+重回帰の係数!$B$19*重回帰分析!D93+重回帰の係数!$B$20*重回帰分析!E93+重回帰の係数!$B$21*重回帰分析!F93+重回帰の係数!$B$22*重回帰分析!G93+重回帰の係数!$B$17</f>
        <v>114.00530097554939</v>
      </c>
      <c r="J93">
        <f t="shared" si="1"/>
        <v>25.005300975549389</v>
      </c>
    </row>
    <row r="94" spans="2:10">
      <c r="B94" s="7">
        <v>43557</v>
      </c>
      <c r="C94">
        <f>IF(OR(アイスクリームの売り上げデータ!B94=1,アイスクリームの売り上げデータ!B94=7),1,0)</f>
        <v>0</v>
      </c>
      <c r="D94">
        <f>アイスクリームの売り上げデータ!C94</f>
        <v>7.2</v>
      </c>
      <c r="E94">
        <f>アイスクリームの売り上げデータ!D94</f>
        <v>13.1</v>
      </c>
      <c r="F94">
        <f>アイスクリームの売り上げデータ!E94</f>
        <v>2.2999999999999998</v>
      </c>
      <c r="G94">
        <f>アイスクリームの売り上げデータ!F94</f>
        <v>0</v>
      </c>
      <c r="H94">
        <f>アイスクリームの売り上げデータ!G94</f>
        <v>126</v>
      </c>
      <c r="I94">
        <f>重回帰の係数!$B$18*重回帰分析!C94+重回帰の係数!$B$19*重回帰分析!D94+重回帰の係数!$B$20*重回帰分析!E94+重回帰の係数!$B$21*重回帰分析!F94+重回帰の係数!$B$22*重回帰分析!G94+重回帰の係数!$B$17</f>
        <v>113.20455999734354</v>
      </c>
      <c r="J94">
        <f t="shared" si="1"/>
        <v>12.795440002656463</v>
      </c>
    </row>
    <row r="95" spans="2:10">
      <c r="B95" s="7">
        <v>43558</v>
      </c>
      <c r="C95">
        <f>IF(OR(アイスクリームの売り上げデータ!B95=1,アイスクリームの売り上げデータ!B95=7),1,0)</f>
        <v>0</v>
      </c>
      <c r="D95">
        <f>アイスクリームの売り上げデータ!C95</f>
        <v>8.1</v>
      </c>
      <c r="E95">
        <f>アイスクリームの売り上げデータ!D95</f>
        <v>14.1</v>
      </c>
      <c r="F95">
        <f>アイスクリームの売り上げデータ!E95</f>
        <v>2.7</v>
      </c>
      <c r="G95">
        <f>アイスクリームの売り上げデータ!F95</f>
        <v>0</v>
      </c>
      <c r="H95">
        <f>アイスクリームの売り上げデータ!G95</f>
        <v>149</v>
      </c>
      <c r="I95">
        <f>重回帰の係数!$B$18*重回帰分析!C95+重回帰の係数!$B$19*重回帰分析!D95+重回帰の係数!$B$20*重回帰分析!E95+重回帰の係数!$B$21*重回帰分析!F95+重回帰の係数!$B$22*重回帰分析!G95+重回帰の係数!$B$17</f>
        <v>116.12441856651461</v>
      </c>
      <c r="J95">
        <f t="shared" si="1"/>
        <v>32.875581433485394</v>
      </c>
    </row>
    <row r="96" spans="2:10">
      <c r="B96" s="7">
        <v>43559</v>
      </c>
      <c r="C96">
        <f>IF(OR(アイスクリームの売り上げデータ!B96=1,アイスクリームの売り上げデータ!B96=7),1,0)</f>
        <v>0</v>
      </c>
      <c r="D96">
        <f>アイスクリームの売り上げデータ!C96</f>
        <v>10.6</v>
      </c>
      <c r="E96">
        <f>アイスクリームの売り上げデータ!D96</f>
        <v>16.7</v>
      </c>
      <c r="F96">
        <f>アイスクリームの売り上げデータ!E96</f>
        <v>3.4</v>
      </c>
      <c r="G96">
        <f>アイスクリームの売り上げデータ!F96</f>
        <v>0</v>
      </c>
      <c r="H96">
        <f>アイスクリームの売り上げデータ!G96</f>
        <v>127</v>
      </c>
      <c r="I96">
        <f>重回帰の係数!$B$18*重回帰分析!C96+重回帰の係数!$B$19*重回帰分析!D96+重回帰の係数!$B$20*重回帰分析!E96+重回帰の係数!$B$21*重回帰分析!F96+重回帰の係数!$B$22*重回帰分析!G96+重回帰の係数!$B$17</f>
        <v>123.78180073344143</v>
      </c>
      <c r="J96">
        <f t="shared" si="1"/>
        <v>3.218199266558571</v>
      </c>
    </row>
    <row r="97" spans="2:10">
      <c r="B97" s="7">
        <v>43560</v>
      </c>
      <c r="C97">
        <f>IF(OR(アイスクリームの売り上げデータ!B97=1,アイスクリームの売り上げデータ!B97=7),1,0)</f>
        <v>0</v>
      </c>
      <c r="D97">
        <f>アイスクリームの売り上げデータ!C97</f>
        <v>15.4</v>
      </c>
      <c r="E97">
        <f>アイスクリームの売り上げデータ!D97</f>
        <v>22.5</v>
      </c>
      <c r="F97">
        <f>アイスクリームの売り上げデータ!E97</f>
        <v>6.7</v>
      </c>
      <c r="G97">
        <f>アイスクリームの売り上げデータ!F97</f>
        <v>0</v>
      </c>
      <c r="H97">
        <f>アイスクリームの売り上げデータ!G97</f>
        <v>130</v>
      </c>
      <c r="I97">
        <f>重回帰の係数!$B$18*重回帰分析!C97+重回帰の係数!$B$19*重回帰分析!D97+重回帰の係数!$B$20*重回帰分析!E97+重回帰の係数!$B$21*重回帰分析!F97+重回帰の係数!$B$22*重回帰分析!G97+重回帰の係数!$B$17</f>
        <v>140.61531256968135</v>
      </c>
      <c r="J97">
        <f t="shared" si="1"/>
        <v>10.61531256968135</v>
      </c>
    </row>
    <row r="98" spans="2:10">
      <c r="B98" s="7">
        <v>43561</v>
      </c>
      <c r="C98">
        <f>IF(OR(アイスクリームの売り上げデータ!B98=1,アイスクリームの売り上げデータ!B98=7),1,0)</f>
        <v>1</v>
      </c>
      <c r="D98">
        <f>アイスクリームの売り上げデータ!C98</f>
        <v>15.9</v>
      </c>
      <c r="E98">
        <f>アイスクリームの売り上げデータ!D98</f>
        <v>21.6</v>
      </c>
      <c r="F98">
        <f>アイスクリームの売り上げデータ!E98</f>
        <v>11</v>
      </c>
      <c r="G98">
        <f>アイスクリームの売り上げデータ!F98</f>
        <v>0</v>
      </c>
      <c r="H98">
        <f>アイスクリームの売り上げデータ!G98</f>
        <v>173</v>
      </c>
      <c r="I98">
        <f>重回帰の係数!$B$18*重回帰分析!C98+重回帰の係数!$B$19*重回帰分析!D98+重回帰の係数!$B$20*重回帰分析!E98+重回帰の係数!$B$21*重回帰分析!F98+重回帰の係数!$B$22*重回帰分析!G98+重回帰の係数!$B$17</f>
        <v>208.96549682105677</v>
      </c>
      <c r="J98">
        <f t="shared" si="1"/>
        <v>35.965496821056774</v>
      </c>
    </row>
    <row r="99" spans="2:10">
      <c r="B99" s="7">
        <v>43562</v>
      </c>
      <c r="C99">
        <f>IF(OR(アイスクリームの売り上げデータ!B99=1,アイスクリームの売り上げデータ!B99=7),1,0)</f>
        <v>1</v>
      </c>
      <c r="D99">
        <f>アイスクリームの売り上げデータ!C99</f>
        <v>15.5</v>
      </c>
      <c r="E99">
        <f>アイスクリームの売り上げデータ!D99</f>
        <v>21.6</v>
      </c>
      <c r="F99">
        <f>アイスクリームの売り上げデータ!E99</f>
        <v>10.4</v>
      </c>
      <c r="G99">
        <f>アイスクリームの売り上げデータ!F99</f>
        <v>0</v>
      </c>
      <c r="H99">
        <f>アイスクリームの売り上げデータ!G99</f>
        <v>245</v>
      </c>
      <c r="I99">
        <f>重回帰の係数!$B$18*重回帰分析!C99+重回帰の係数!$B$19*重回帰分析!D99+重回帰の係数!$B$20*重回帰分析!E99+重回帰の係数!$B$21*重回帰分析!F99+重回帰の係数!$B$22*重回帰分析!G99+重回帰の係数!$B$17</f>
        <v>207.6257837773509</v>
      </c>
      <c r="J99">
        <f t="shared" si="1"/>
        <v>37.374216222649096</v>
      </c>
    </row>
    <row r="100" spans="2:10">
      <c r="B100" s="7">
        <v>43563</v>
      </c>
      <c r="C100">
        <f>IF(OR(アイスクリームの売り上げデータ!B100=1,アイスクリームの売り上げデータ!B100=7),1,0)</f>
        <v>0</v>
      </c>
      <c r="D100">
        <f>アイスクリームの売り上げデータ!C100</f>
        <v>9.3000000000000007</v>
      </c>
      <c r="E100">
        <f>アイスクリームの売り上げデータ!D100</f>
        <v>14.8</v>
      </c>
      <c r="F100">
        <f>アイスクリームの売り上げデータ!E100</f>
        <v>5.9</v>
      </c>
      <c r="G100">
        <f>アイスクリームの売り上げデータ!F100</f>
        <v>11</v>
      </c>
      <c r="H100">
        <f>アイスクリームの売り上げデータ!G100</f>
        <v>96</v>
      </c>
      <c r="I100">
        <f>重回帰の係数!$B$18*重回帰分析!C100+重回帰の係数!$B$19*重回帰分析!D100+重回帰の係数!$B$20*重回帰分析!E100+重回帰の係数!$B$21*重回帰分析!F100+重回帰の係数!$B$22*重回帰分析!G100+重回帰の係数!$B$17</f>
        <v>109.25717879950435</v>
      </c>
      <c r="J100">
        <f t="shared" si="1"/>
        <v>13.257178799504345</v>
      </c>
    </row>
    <row r="101" spans="2:10">
      <c r="B101" s="7">
        <v>43564</v>
      </c>
      <c r="C101">
        <f>IF(OR(アイスクリームの売り上げデータ!B101=1,アイスクリームの売り上げデータ!B101=7),1,0)</f>
        <v>0</v>
      </c>
      <c r="D101">
        <f>アイスクリームの売り上げデータ!C101</f>
        <v>10.3</v>
      </c>
      <c r="E101">
        <f>アイスクリームの売り上げデータ!D101</f>
        <v>16.899999999999999</v>
      </c>
      <c r="F101">
        <f>アイスクリームの売り上げデータ!E101</f>
        <v>4.3</v>
      </c>
      <c r="G101">
        <f>アイスクリームの売り上げデータ!F101</f>
        <v>0</v>
      </c>
      <c r="H101">
        <f>アイスクリームの売り上げデータ!G101</f>
        <v>117</v>
      </c>
      <c r="I101">
        <f>重回帰の係数!$B$18*重回帰分析!C101+重回帰の係数!$B$19*重回帰分析!D101+重回帰の係数!$B$20*重回帰分析!E101+重回帰の係数!$B$21*重回帰分析!F101+重回帰の係数!$B$22*重回帰分析!G101+重回帰の係数!$B$17</f>
        <v>124.00640715485706</v>
      </c>
      <c r="J101">
        <f t="shared" si="1"/>
        <v>7.0064071548570581</v>
      </c>
    </row>
    <row r="102" spans="2:10">
      <c r="B102" s="7">
        <v>43565</v>
      </c>
      <c r="C102">
        <f>IF(OR(アイスクリームの売り上げデータ!B102=1,アイスクリームの売り上げデータ!B102=7),1,0)</f>
        <v>0</v>
      </c>
      <c r="D102">
        <f>アイスクリームの売り上げデータ!C102</f>
        <v>5.7</v>
      </c>
      <c r="E102">
        <f>アイスクリームの売り上げデータ!D102</f>
        <v>10.199999999999999</v>
      </c>
      <c r="F102">
        <f>アイスクリームの売り上げデータ!E102</f>
        <v>3.6</v>
      </c>
      <c r="G102">
        <f>アイスクリームの売り上げデータ!F102</f>
        <v>29.5</v>
      </c>
      <c r="H102">
        <f>アイスクリームの売り上げデータ!G102</f>
        <v>100</v>
      </c>
      <c r="I102">
        <f>重回帰の係数!$B$18*重回帰分析!C102+重回帰の係数!$B$19*重回帰分析!D102+重回帰の係数!$B$20*重回帰分析!E102+重回帰の係数!$B$21*重回帰分析!F102+重回帰の係数!$B$22*重回帰分析!G102+重回帰の係数!$B$17</f>
        <v>75.592243980147941</v>
      </c>
      <c r="J102">
        <f t="shared" si="1"/>
        <v>24.407756019852059</v>
      </c>
    </row>
    <row r="103" spans="2:10">
      <c r="B103" s="7">
        <v>43566</v>
      </c>
      <c r="C103">
        <f>IF(OR(アイスクリームの売り上げデータ!B103=1,アイスクリームの売り上げデータ!B103=7),1,0)</f>
        <v>0</v>
      </c>
      <c r="D103">
        <f>アイスクリームの売り上げデータ!C103</f>
        <v>10.4</v>
      </c>
      <c r="E103">
        <f>アイスクリームの売り上げデータ!D103</f>
        <v>16.7</v>
      </c>
      <c r="F103">
        <f>アイスクリームの売り上げデータ!E103</f>
        <v>4.4000000000000004</v>
      </c>
      <c r="G103">
        <f>アイスクリームの売り上げデータ!F103</f>
        <v>1.5</v>
      </c>
      <c r="H103">
        <f>アイスクリームの売り上げデータ!G103</f>
        <v>121</v>
      </c>
      <c r="I103">
        <f>重回帰の係数!$B$18*重回帰分析!C103+重回帰の係数!$B$19*重回帰分析!D103+重回帰の係数!$B$20*重回帰分析!E103+重回帰の係数!$B$21*重回帰分析!F103+重回帰の係数!$B$22*重回帰分析!G103+重回帰の係数!$B$17</f>
        <v>122.46195821267803</v>
      </c>
      <c r="J103">
        <f t="shared" si="1"/>
        <v>1.4619582126780273</v>
      </c>
    </row>
    <row r="104" spans="2:10">
      <c r="B104" s="7">
        <v>43567</v>
      </c>
      <c r="C104">
        <f>IF(OR(アイスクリームの売り上げデータ!B104=1,アイスクリームの売り上げデータ!B104=7),1,0)</f>
        <v>0</v>
      </c>
      <c r="D104">
        <f>アイスクリームの売り上げデータ!C104</f>
        <v>9.6</v>
      </c>
      <c r="E104">
        <f>アイスクリームの売り上げデータ!D104</f>
        <v>12.6</v>
      </c>
      <c r="F104">
        <f>アイスクリームの売り上げデータ!E104</f>
        <v>7.5</v>
      </c>
      <c r="G104">
        <f>アイスクリームの売り上げデータ!F104</f>
        <v>0</v>
      </c>
      <c r="H104">
        <f>アイスクリームの売り上げデータ!G104</f>
        <v>119</v>
      </c>
      <c r="I104">
        <f>重回帰の係数!$B$18*重回帰分析!C104+重回帰の係数!$B$19*重回帰分析!D104+重回帰の係数!$B$20*重回帰分析!E104+重回帰の係数!$B$21*重回帰分析!F104+重回帰の係数!$B$22*重回帰分析!G104+重回帰の係数!$B$17</f>
        <v>122.20198657450796</v>
      </c>
      <c r="J104">
        <f t="shared" si="1"/>
        <v>3.2019865745079557</v>
      </c>
    </row>
    <row r="105" spans="2:10">
      <c r="B105" s="7">
        <v>43568</v>
      </c>
      <c r="C105">
        <f>IF(OR(アイスクリームの売り上げデータ!B105=1,アイスクリームの売り上げデータ!B105=7),1,0)</f>
        <v>1</v>
      </c>
      <c r="D105">
        <f>アイスクリームの売り上げデータ!C105</f>
        <v>12.1</v>
      </c>
      <c r="E105">
        <f>アイスクリームの売り上げデータ!D105</f>
        <v>18.2</v>
      </c>
      <c r="F105">
        <f>アイスクリームの売り上げデータ!E105</f>
        <v>5.5</v>
      </c>
      <c r="G105">
        <f>アイスクリームの売り上げデータ!F105</f>
        <v>0</v>
      </c>
      <c r="H105">
        <f>アイスクリームの売り上げデータ!G105</f>
        <v>193</v>
      </c>
      <c r="I105">
        <f>重回帰の係数!$B$18*重回帰分析!C105+重回帰の係数!$B$19*重回帰分析!D105+重回帰の係数!$B$20*重回帰分析!E105+重回帰の係数!$B$21*重回帰分析!F105+重回帰の係数!$B$22*重回帰分析!G105+重回帰の係数!$B$17</f>
        <v>194.10345674275538</v>
      </c>
      <c r="J105">
        <f t="shared" si="1"/>
        <v>1.1034567427553839</v>
      </c>
    </row>
    <row r="106" spans="2:10">
      <c r="B106" s="7">
        <v>43569</v>
      </c>
      <c r="C106">
        <f>IF(OR(アイスクリームの売り上げデータ!B106=1,アイスクリームの売り上げデータ!B106=7),1,0)</f>
        <v>1</v>
      </c>
      <c r="D106">
        <f>アイスクリームの売り上げデータ!C106</f>
        <v>14.7</v>
      </c>
      <c r="E106">
        <f>アイスクリームの売り上げデータ!D106</f>
        <v>18.3</v>
      </c>
      <c r="F106">
        <f>アイスクリームの売り上げデータ!E106</f>
        <v>9.6999999999999993</v>
      </c>
      <c r="G106">
        <f>アイスクリームの売り上げデータ!F106</f>
        <v>0</v>
      </c>
      <c r="H106">
        <f>アイスクリームの売り上げデータ!G106</f>
        <v>202</v>
      </c>
      <c r="I106">
        <f>重回帰の係数!$B$18*重回帰分析!C106+重回帰の係数!$B$19*重回帰分析!D106+重回帰の係数!$B$20*重回帰分析!E106+重回帰の係数!$B$21*重回帰分析!F106+重回帰の係数!$B$22*重回帰分析!G106+重回帰の係数!$B$17</f>
        <v>203.12232032049272</v>
      </c>
      <c r="J106">
        <f t="shared" si="1"/>
        <v>1.1223203204927188</v>
      </c>
    </row>
    <row r="107" spans="2:10">
      <c r="B107" s="7">
        <v>43570</v>
      </c>
      <c r="C107">
        <f>IF(OR(アイスクリームの売り上げデータ!B107=1,アイスクリームの売り上げデータ!B107=7),1,0)</f>
        <v>0</v>
      </c>
      <c r="D107">
        <f>アイスクリームの売り上げデータ!C107</f>
        <v>16</v>
      </c>
      <c r="E107">
        <f>アイスクリームの売り上げデータ!D107</f>
        <v>22.7</v>
      </c>
      <c r="F107">
        <f>アイスクリームの売り上げデータ!E107</f>
        <v>11.6</v>
      </c>
      <c r="G107">
        <f>アイスクリームの売り上げデータ!F107</f>
        <v>5</v>
      </c>
      <c r="H107">
        <f>アイスクリームの売り上げデータ!G107</f>
        <v>114</v>
      </c>
      <c r="I107">
        <f>重回帰の係数!$B$18*重回帰分析!C107+重回帰の係数!$B$19*重回帰分析!D107+重回帰の係数!$B$20*重回帰分析!E107+重回帰の係数!$B$21*重回帰分析!F107+重回帰の係数!$B$22*重回帰分析!G107+重回帰の係数!$B$17</f>
        <v>140.32318011403157</v>
      </c>
      <c r="J107">
        <f t="shared" si="1"/>
        <v>26.323180114031572</v>
      </c>
    </row>
    <row r="108" spans="2:10">
      <c r="B108" s="7">
        <v>43571</v>
      </c>
      <c r="C108">
        <f>IF(OR(アイスクリームの売り上げデータ!B108=1,アイスクリームの売り上げデータ!B108=7),1,0)</f>
        <v>0</v>
      </c>
      <c r="D108">
        <f>アイスクリームの売り上げデータ!C108</f>
        <v>15.3</v>
      </c>
      <c r="E108">
        <f>アイスクリームの売り上げデータ!D108</f>
        <v>21</v>
      </c>
      <c r="F108">
        <f>アイスクリームの売り上げデータ!E108</f>
        <v>10.1</v>
      </c>
      <c r="G108">
        <f>アイスクリームの売り上げデータ!F108</f>
        <v>0</v>
      </c>
      <c r="H108">
        <f>アイスクリームの売り上げデータ!G108</f>
        <v>146</v>
      </c>
      <c r="I108">
        <f>重回帰の係数!$B$18*重回帰分析!C108+重回帰の係数!$B$19*重回帰分析!D108+重回帰の係数!$B$20*重回帰分析!E108+重回帰の係数!$B$21*重回帰分析!F108+重回帰の係数!$B$22*重回帰分析!G108+重回帰の係数!$B$17</f>
        <v>142.1446065587138</v>
      </c>
      <c r="J108">
        <f t="shared" si="1"/>
        <v>3.8553934412861963</v>
      </c>
    </row>
    <row r="109" spans="2:10">
      <c r="B109" s="7">
        <v>43572</v>
      </c>
      <c r="C109">
        <f>IF(OR(アイスクリームの売り上げデータ!B109=1,アイスクリームの売り上げデータ!B109=7),1,0)</f>
        <v>0</v>
      </c>
      <c r="D109">
        <f>アイスクリームの売り上げデータ!C109</f>
        <v>15.5</v>
      </c>
      <c r="E109">
        <f>アイスクリームの売り上げデータ!D109</f>
        <v>19.5</v>
      </c>
      <c r="F109">
        <f>アイスクリームの売り上げデータ!E109</f>
        <v>11</v>
      </c>
      <c r="G109">
        <f>アイスクリームの売り上げデータ!F109</f>
        <v>0</v>
      </c>
      <c r="H109">
        <f>アイスクリームの売り上げデータ!G109</f>
        <v>165</v>
      </c>
      <c r="I109">
        <f>重回帰の係数!$B$18*重回帰分析!C109+重回帰の係数!$B$19*重回帰分析!D109+重回帰の係数!$B$20*重回帰分析!E109+重回帰の係数!$B$21*重回帰分析!F109+重回帰の係数!$B$22*重回帰分析!G109+重回帰の係数!$B$17</f>
        <v>142.28747977073081</v>
      </c>
      <c r="J109">
        <f t="shared" si="1"/>
        <v>22.712520229269188</v>
      </c>
    </row>
    <row r="110" spans="2:10">
      <c r="B110" s="7">
        <v>43573</v>
      </c>
      <c r="C110">
        <f>IF(OR(アイスクリームの売り上げデータ!B110=1,アイスクリームの売り上げデータ!B110=7),1,0)</f>
        <v>0</v>
      </c>
      <c r="D110">
        <f>アイスクリームの売り上げデータ!C110</f>
        <v>17.5</v>
      </c>
      <c r="E110">
        <f>アイスクリームの売り上げデータ!D110</f>
        <v>23.5</v>
      </c>
      <c r="F110">
        <f>アイスクリームの売り上げデータ!E110</f>
        <v>13.4</v>
      </c>
      <c r="G110">
        <f>アイスクリームの売り上げデータ!F110</f>
        <v>0</v>
      </c>
      <c r="H110">
        <f>アイスクリームの売り上げデータ!G110</f>
        <v>141</v>
      </c>
      <c r="I110">
        <f>重回帰の係数!$B$18*重回帰分析!C110+重回帰の係数!$B$19*重回帰分析!D110+重回帰の係数!$B$20*重回帰分析!E110+重回帰の係数!$B$21*重回帰分析!F110+重回帰の係数!$B$22*重回帰分析!G110+重回帰の係数!$B$17</f>
        <v>151.20191197135205</v>
      </c>
      <c r="J110">
        <f t="shared" si="1"/>
        <v>10.201911971352047</v>
      </c>
    </row>
    <row r="111" spans="2:10">
      <c r="B111" s="7">
        <v>43574</v>
      </c>
      <c r="C111">
        <f>IF(OR(アイスクリームの売り上げデータ!B111=1,アイスクリームの売り上げデータ!B111=7),1,0)</f>
        <v>0</v>
      </c>
      <c r="D111">
        <f>アイスクリームの売り上げデータ!C111</f>
        <v>18.3</v>
      </c>
      <c r="E111">
        <f>アイスクリームの売り上げデータ!D111</f>
        <v>23.6</v>
      </c>
      <c r="F111">
        <f>アイスクリームの売り上げデータ!E111</f>
        <v>14.3</v>
      </c>
      <c r="G111">
        <f>アイスクリームの売り上げデータ!F111</f>
        <v>0</v>
      </c>
      <c r="H111">
        <f>アイスクリームの売り上げデータ!G111</f>
        <v>161</v>
      </c>
      <c r="I111">
        <f>重回帰の係数!$B$18*重回帰分析!C111+重回帰の係数!$B$19*重回帰分析!D111+重回帰の係数!$B$20*重回帰分析!E111+重回帰の係数!$B$21*重回帰分析!F111+重回帰の係数!$B$22*重回帰分析!G111+重回帰の係数!$B$17</f>
        <v>153.70571995889526</v>
      </c>
      <c r="J111">
        <f t="shared" si="1"/>
        <v>7.2942800411047415</v>
      </c>
    </row>
    <row r="112" spans="2:10">
      <c r="B112" s="7">
        <v>43575</v>
      </c>
      <c r="C112">
        <f>IF(OR(アイスクリームの売り上げデータ!B112=1,アイスクリームの売り上げデータ!B112=7),1,0)</f>
        <v>1</v>
      </c>
      <c r="D112">
        <f>アイスクリームの売り上げデータ!C112</f>
        <v>14.2</v>
      </c>
      <c r="E112">
        <f>アイスクリームの売り上げデータ!D112</f>
        <v>19.100000000000001</v>
      </c>
      <c r="F112">
        <f>アイスクリームの売り上げデータ!E112</f>
        <v>9.8000000000000007</v>
      </c>
      <c r="G112">
        <f>アイスクリームの売り上げデータ!F112</f>
        <v>0</v>
      </c>
      <c r="H112">
        <f>アイスクリームの売り上げデータ!G112</f>
        <v>202</v>
      </c>
      <c r="I112">
        <f>重回帰の係数!$B$18*重回帰分析!C112+重回帰の係数!$B$19*重回帰分析!D112+重回帰の係数!$B$20*重回帰分析!E112+重回帰の係数!$B$21*重回帰分析!F112+重回帰の係数!$B$22*重回帰分析!G112+重回帰の係数!$B$17</f>
        <v>202.67711322346548</v>
      </c>
      <c r="J112">
        <f t="shared" si="1"/>
        <v>0.67711322346548286</v>
      </c>
    </row>
    <row r="113" spans="2:10">
      <c r="B113" s="7">
        <v>43576</v>
      </c>
      <c r="C113">
        <f>IF(OR(アイスクリームの売り上げデータ!B113=1,アイスクリームの売り上げデータ!B113=7),1,0)</f>
        <v>1</v>
      </c>
      <c r="D113">
        <f>アイスクリームの売り上げデータ!C113</f>
        <v>17.5</v>
      </c>
      <c r="E113">
        <f>アイスクリームの売り上げデータ!D113</f>
        <v>23.1</v>
      </c>
      <c r="F113">
        <f>アイスクリームの売り上げデータ!E113</f>
        <v>12.2</v>
      </c>
      <c r="G113">
        <f>アイスクリームの売り上げデータ!F113</f>
        <v>0</v>
      </c>
      <c r="H113">
        <f>アイスクリームの売り上げデータ!G113</f>
        <v>235</v>
      </c>
      <c r="I113">
        <f>重回帰の係数!$B$18*重回帰分析!C113+重回帰の係数!$B$19*重回帰分析!D113+重回帰の係数!$B$20*重回帰分析!E113+重回帰の係数!$B$21*重回帰分析!F113+重回帰の係数!$B$22*重回帰分析!G113+重回帰の係数!$B$17</f>
        <v>214.36498541219868</v>
      </c>
      <c r="J113">
        <f t="shared" si="1"/>
        <v>20.635014587801322</v>
      </c>
    </row>
    <row r="114" spans="2:10">
      <c r="B114" s="7">
        <v>43577</v>
      </c>
      <c r="C114">
        <f>IF(OR(アイスクリームの売り上げデータ!B114=1,アイスクリームの売り上げデータ!B114=7),1,0)</f>
        <v>0</v>
      </c>
      <c r="D114">
        <f>アイスクリームの売り上げデータ!C114</f>
        <v>19.2</v>
      </c>
      <c r="E114">
        <f>アイスクリームの売り上げデータ!D114</f>
        <v>25.6</v>
      </c>
      <c r="F114">
        <f>アイスクリームの売り上げデータ!E114</f>
        <v>14.4</v>
      </c>
      <c r="G114">
        <f>アイスクリームの売り上げデータ!F114</f>
        <v>0</v>
      </c>
      <c r="H114">
        <f>アイスクリームの売り上げデータ!G114</f>
        <v>131</v>
      </c>
      <c r="I114">
        <f>重回帰の係数!$B$18*重回帰分析!C114+重回帰の係数!$B$19*重回帰分析!D114+重回帰の係数!$B$20*重回帰分析!E114+重回帰の係数!$B$21*重回帰分析!F114+重回帰の係数!$B$22*重回帰分析!G114+重回帰の係数!$B$17</f>
        <v>157.05795855020989</v>
      </c>
      <c r="J114">
        <f t="shared" si="1"/>
        <v>26.057958550209889</v>
      </c>
    </row>
    <row r="115" spans="2:10">
      <c r="B115" s="7">
        <v>43578</v>
      </c>
      <c r="C115">
        <f>IF(OR(アイスクリームの売り上げデータ!B115=1,アイスクリームの売り上げデータ!B115=7),1,0)</f>
        <v>0</v>
      </c>
      <c r="D115">
        <f>アイスクリームの売り上げデータ!C115</f>
        <v>18.7</v>
      </c>
      <c r="E115">
        <f>アイスクリームの売り上げデータ!D115</f>
        <v>23.3</v>
      </c>
      <c r="F115">
        <f>アイスクリームの売り上げデータ!E115</f>
        <v>15.3</v>
      </c>
      <c r="G115">
        <f>アイスクリームの売り上げデータ!F115</f>
        <v>0</v>
      </c>
      <c r="H115">
        <f>アイスクリームの売り上げデータ!G115</f>
        <v>162</v>
      </c>
      <c r="I115">
        <f>重回帰の係数!$B$18*重回帰分析!C115+重回帰の係数!$B$19*重回帰分析!D115+重回帰の係数!$B$20*重回帰分析!E115+重回帰の係数!$B$21*重回帰分析!F115+重回帰の係数!$B$22*重回帰分析!G115+重回帰の係数!$B$17</f>
        <v>155.16699822427552</v>
      </c>
      <c r="J115">
        <f t="shared" si="1"/>
        <v>6.8330017757244832</v>
      </c>
    </row>
    <row r="116" spans="2:10">
      <c r="B116" s="7">
        <v>43579</v>
      </c>
      <c r="C116">
        <f>IF(OR(アイスクリームの売り上げデータ!B116=1,アイスクリームの売り上げデータ!B116=7),1,0)</f>
        <v>0</v>
      </c>
      <c r="D116">
        <f>アイスクリームの売り上げデータ!C116</f>
        <v>19.100000000000001</v>
      </c>
      <c r="E116">
        <f>アイスクリームの売り上げデータ!D116</f>
        <v>20.6</v>
      </c>
      <c r="F116">
        <f>アイスクリームの売り上げデータ!E116</f>
        <v>17.5</v>
      </c>
      <c r="G116">
        <f>アイスクリームの売り上げデータ!F116</f>
        <v>3</v>
      </c>
      <c r="H116">
        <f>アイスクリームの売り上げデータ!G116</f>
        <v>177</v>
      </c>
      <c r="I116">
        <f>重回帰の係数!$B$18*重回帰分析!C116+重回帰の係数!$B$19*重回帰分析!D116+重回帰の係数!$B$20*重回帰分析!E116+重回帰の係数!$B$21*重回帰分析!F116+重回帰の係数!$B$22*重回帰分析!G116+重回帰の係数!$B$17</f>
        <v>152.57216674826151</v>
      </c>
      <c r="J116">
        <f t="shared" si="1"/>
        <v>24.427833251738491</v>
      </c>
    </row>
    <row r="117" spans="2:10">
      <c r="B117" s="7">
        <v>43580</v>
      </c>
      <c r="C117">
        <f>IF(OR(アイスクリームの売り上げデータ!B117=1,アイスクリームの売り上げデータ!B117=7),1,0)</f>
        <v>0</v>
      </c>
      <c r="D117">
        <f>アイスクリームの売り上げデータ!C117</f>
        <v>20.3</v>
      </c>
      <c r="E117">
        <f>アイスクリームの売り上げデータ!D117</f>
        <v>24.3</v>
      </c>
      <c r="F117">
        <f>アイスクリームの売り上げデータ!E117</f>
        <v>18.100000000000001</v>
      </c>
      <c r="G117">
        <f>アイスクリームの売り上げデータ!F117</f>
        <v>4</v>
      </c>
      <c r="H117">
        <f>アイスクリームの売り上げデータ!G117</f>
        <v>155</v>
      </c>
      <c r="I117">
        <f>重回帰の係数!$B$18*重回帰分析!C117+重回帰の係数!$B$19*重回帰分析!D117+重回帰の係数!$B$20*重回帰分析!E117+重回帰の係数!$B$21*重回帰分析!F117+重回帰の係数!$B$22*重回帰分析!G117+重回帰の係数!$B$17</f>
        <v>156.98233485959474</v>
      </c>
      <c r="J117">
        <f t="shared" si="1"/>
        <v>1.9823348595947436</v>
      </c>
    </row>
    <row r="118" spans="2:10">
      <c r="B118" s="7">
        <v>43581</v>
      </c>
      <c r="C118">
        <f>IF(OR(アイスクリームの売り上げデータ!B118=1,アイスクリームの売り上げデータ!B118=7),1,0)</f>
        <v>0</v>
      </c>
      <c r="D118">
        <f>アイスクリームの売り上げデータ!C118</f>
        <v>11.6</v>
      </c>
      <c r="E118">
        <f>アイスクリームの売り上げデータ!D118</f>
        <v>20</v>
      </c>
      <c r="F118">
        <f>アイスクリームの売り上げデータ!E118</f>
        <v>9.5</v>
      </c>
      <c r="G118">
        <f>アイスクリームの売り上げデータ!F118</f>
        <v>4.5</v>
      </c>
      <c r="H118">
        <f>アイスクリームの売り上げデータ!G118</f>
        <v>131</v>
      </c>
      <c r="I118">
        <f>重回帰の係数!$B$18*重回帰分析!C118+重回帰の係数!$B$19*重回帰分析!D118+重回帰の係数!$B$20*重回帰分析!E118+重回帰の係数!$B$21*重回帰分析!F118+重回帰の係数!$B$22*重回帰分析!G118+重回帰の係数!$B$17</f>
        <v>127.97785650245638</v>
      </c>
      <c r="J118">
        <f t="shared" si="1"/>
        <v>3.0221434975436239</v>
      </c>
    </row>
    <row r="119" spans="2:10">
      <c r="B119" s="7">
        <v>43582</v>
      </c>
      <c r="C119">
        <f>IF(OR(アイスクリームの売り上げデータ!B119=1,アイスクリームの売り上げデータ!B119=7),1,0)</f>
        <v>1</v>
      </c>
      <c r="D119">
        <f>アイスクリームの売り上げデータ!C119</f>
        <v>10.199999999999999</v>
      </c>
      <c r="E119">
        <f>アイスクリームの売り上げデータ!D119</f>
        <v>13.2</v>
      </c>
      <c r="F119">
        <f>アイスクリームの売り上げデータ!E119</f>
        <v>8</v>
      </c>
      <c r="G119">
        <f>アイスクリームの売り上げデータ!F119</f>
        <v>6.5</v>
      </c>
      <c r="H119">
        <f>アイスクリームの売り上げデータ!G119</f>
        <v>157</v>
      </c>
      <c r="I119">
        <f>重回帰の係数!$B$18*重回帰分析!C119+重回帰の係数!$B$19*重回帰分析!D119+重回帰の係数!$B$20*重回帰分析!E119+重回帰の係数!$B$21*重回帰分析!F119+重回帰の係数!$B$22*重回帰分析!G119+重回帰の係数!$B$17</f>
        <v>181.31578263453432</v>
      </c>
      <c r="J119">
        <f t="shared" si="1"/>
        <v>24.315782634534315</v>
      </c>
    </row>
    <row r="120" spans="2:10">
      <c r="B120" s="7">
        <v>43583</v>
      </c>
      <c r="C120">
        <f>IF(OR(アイスクリームの売り上げデータ!B120=1,アイスクリームの売り上げデータ!B120=7),1,0)</f>
        <v>1</v>
      </c>
      <c r="D120">
        <f>アイスクリームの売り上げデータ!C120</f>
        <v>12.6</v>
      </c>
      <c r="E120">
        <f>アイスクリームの売り上げデータ!D120</f>
        <v>18.7</v>
      </c>
      <c r="F120">
        <f>アイスクリームの売り上げデータ!E120</f>
        <v>6</v>
      </c>
      <c r="G120">
        <f>アイスクリームの売り上げデータ!F120</f>
        <v>0</v>
      </c>
      <c r="H120">
        <f>アイスクリームの売り上げデータ!G120</f>
        <v>224</v>
      </c>
      <c r="I120">
        <f>重回帰の係数!$B$18*重回帰分析!C120+重回帰の係数!$B$19*重回帰分析!D120+重回帰の係数!$B$20*重回帰分析!E120+重回帰の係数!$B$21*重回帰分析!F120+重回帰の係数!$B$22*重回帰分析!G120+重回帰の係数!$B$17</f>
        <v>195.91323024287328</v>
      </c>
      <c r="J120">
        <f t="shared" si="1"/>
        <v>28.086769757126717</v>
      </c>
    </row>
    <row r="121" spans="2:10">
      <c r="B121" s="7">
        <v>43584</v>
      </c>
      <c r="C121">
        <f>IF(OR(アイスクリームの売り上げデータ!B121=1,アイスクリームの売り上げデータ!B121=7),1,0)</f>
        <v>0</v>
      </c>
      <c r="D121">
        <f>アイスクリームの売り上げデータ!C121</f>
        <v>14.8</v>
      </c>
      <c r="E121">
        <f>アイスクリームの売り上げデータ!D121</f>
        <v>19.8</v>
      </c>
      <c r="F121">
        <f>アイスクリームの売り上げデータ!E121</f>
        <v>10.5</v>
      </c>
      <c r="G121">
        <f>アイスクリームの売り上げデータ!F121</f>
        <v>0</v>
      </c>
      <c r="H121">
        <f>アイスクリームの売り上げデータ!G121</f>
        <v>126</v>
      </c>
      <c r="I121">
        <f>重回帰の係数!$B$18*重回帰分析!C121+重回帰の係数!$B$19*重回帰分析!D121+重回帰の係数!$B$20*重回帰分析!E121+重回帰の係数!$B$21*重回帰分析!F121+重回帰の係数!$B$22*重回帰分析!G121+重回帰の係数!$B$17</f>
        <v>140.59146597064066</v>
      </c>
      <c r="J121">
        <f t="shared" si="1"/>
        <v>14.591465970640655</v>
      </c>
    </row>
    <row r="122" spans="2:10">
      <c r="B122" s="7">
        <v>43585</v>
      </c>
      <c r="C122">
        <f>IF(OR(アイスクリームの売り上げデータ!B122=1,アイスクリームの売り上げデータ!B122=7),1,0)</f>
        <v>0</v>
      </c>
      <c r="D122">
        <f>アイスクリームの売り上げデータ!C122</f>
        <v>14.8</v>
      </c>
      <c r="E122">
        <f>アイスクリームの売り上げデータ!D122</f>
        <v>17.399999999999999</v>
      </c>
      <c r="F122">
        <f>アイスクリームの売り上げデータ!E122</f>
        <v>12.8</v>
      </c>
      <c r="G122">
        <f>アイスクリームの売り上げデータ!F122</f>
        <v>20</v>
      </c>
      <c r="H122">
        <f>アイスクリームの売り上げデータ!G122</f>
        <v>123</v>
      </c>
      <c r="I122">
        <f>重回帰の係数!$B$18*重回帰分析!C122+重回帰の係数!$B$19*重回帰分析!D122+重回帰の係数!$B$20*重回帰分析!E122+重回帰の係数!$B$21*重回帰分析!F122+重回帰の係数!$B$22*重回帰分析!G122+重回帰の係数!$B$17</f>
        <v>118.1179660500004</v>
      </c>
      <c r="J122">
        <f t="shared" si="1"/>
        <v>4.8820339499995953</v>
      </c>
    </row>
    <row r="123" spans="2:10">
      <c r="B123" s="7">
        <v>43586</v>
      </c>
      <c r="C123">
        <f>IF(OR(アイスクリームの売り上げデータ!B123=1,アイスクリームの売り上げデータ!B123=7),1,0)</f>
        <v>0</v>
      </c>
      <c r="D123">
        <f>アイスクリームの売り上げデータ!C123</f>
        <v>17.399999999999999</v>
      </c>
      <c r="E123">
        <f>アイスクリームの売り上げデータ!D123</f>
        <v>23.4</v>
      </c>
      <c r="F123">
        <f>アイスクリームの売り上げデータ!E123</f>
        <v>14.3</v>
      </c>
      <c r="G123">
        <f>アイスクリームの売り上げデータ!F123</f>
        <v>26</v>
      </c>
      <c r="H123">
        <f>アイスクリームの売り上げデータ!G123</f>
        <v>147</v>
      </c>
      <c r="I123">
        <f>重回帰の係数!$B$18*重回帰分析!C123+重回帰の係数!$B$19*重回帰分析!D123+重回帰の係数!$B$20*重回帰分析!E123+重回帰の係数!$B$21*重回帰分析!F123+重回帰の係数!$B$22*重回帰分析!G123+重回帰の係数!$B$17</f>
        <v>122.11908366730475</v>
      </c>
      <c r="J123">
        <f t="shared" si="1"/>
        <v>24.88091633269525</v>
      </c>
    </row>
    <row r="124" spans="2:10">
      <c r="B124" s="7">
        <v>43587</v>
      </c>
      <c r="C124">
        <f>IF(OR(アイスクリームの売り上げデータ!B124=1,アイスクリームの売り上げデータ!B124=7),1,0)</f>
        <v>0</v>
      </c>
      <c r="D124">
        <f>アイスクリームの売り上げデータ!C124</f>
        <v>17.3</v>
      </c>
      <c r="E124">
        <f>アイスクリームの売り上げデータ!D124</f>
        <v>23.9</v>
      </c>
      <c r="F124">
        <f>アイスクリームの売り上げデータ!E124</f>
        <v>13.8</v>
      </c>
      <c r="G124">
        <f>アイスクリームの売り上げデータ!F124</f>
        <v>3.5</v>
      </c>
      <c r="H124">
        <f>アイスクリームの売り上げデータ!G124</f>
        <v>157</v>
      </c>
      <c r="I124">
        <f>重回帰の係数!$B$18*重回帰分析!C124+重回帰の係数!$B$19*重回帰分析!D124+重回帰の係数!$B$20*重回帰分析!E124+重回帰の係数!$B$21*重回帰分析!F124+重回帰の係数!$B$22*重回帰分析!G124+重回帰の係数!$B$17</f>
        <v>147.39429380925611</v>
      </c>
      <c r="J124">
        <f t="shared" si="1"/>
        <v>9.6057061907438879</v>
      </c>
    </row>
    <row r="125" spans="2:10">
      <c r="B125" s="7">
        <v>43588</v>
      </c>
      <c r="C125">
        <f>IF(OR(アイスクリームの売り上げデータ!B125=1,アイスクリームの売り上げデータ!B125=7),1,0)</f>
        <v>0</v>
      </c>
      <c r="D125">
        <f>アイスクリームの売り上げデータ!C125</f>
        <v>18.5</v>
      </c>
      <c r="E125">
        <f>アイスクリームの売り上げデータ!D125</f>
        <v>25</v>
      </c>
      <c r="F125">
        <f>アイスクリームの売り上げデータ!E125</f>
        <v>11</v>
      </c>
      <c r="G125">
        <f>アイスクリームの売り上げデータ!F125</f>
        <v>0</v>
      </c>
      <c r="H125">
        <f>アイスクリームの売り上げデータ!G125</f>
        <v>148</v>
      </c>
      <c r="I125">
        <f>重回帰の係数!$B$18*重回帰分析!C125+重回帰の係数!$B$19*重回帰分析!D125+重回帰の係数!$B$20*重回帰分析!E125+重回帰の係数!$B$21*重回帰分析!F125+重回帰の係数!$B$22*重回帰分析!G125+重回帰の係数!$B$17</f>
        <v>152.40326997610595</v>
      </c>
      <c r="J125">
        <f t="shared" si="1"/>
        <v>4.4032699761059462</v>
      </c>
    </row>
    <row r="126" spans="2:10">
      <c r="B126" s="7">
        <v>43589</v>
      </c>
      <c r="C126">
        <f>IF(OR(アイスクリームの売り上げデータ!B126=1,アイスクリームの売り上げデータ!B126=7),1,0)</f>
        <v>1</v>
      </c>
      <c r="D126">
        <f>アイスクリームの売り上げデータ!C126</f>
        <v>18.399999999999999</v>
      </c>
      <c r="E126">
        <f>アイスクリームの売り上げデータ!D126</f>
        <v>24.8</v>
      </c>
      <c r="F126">
        <f>アイスクリームの売り上げデータ!E126</f>
        <v>14.1</v>
      </c>
      <c r="G126">
        <f>アイスクリームの売り上げデータ!F126</f>
        <v>0</v>
      </c>
      <c r="H126">
        <f>アイスクリームの売り上げデータ!G126</f>
        <v>216</v>
      </c>
      <c r="I126">
        <f>重回帰の係数!$B$18*重回帰分析!C126+重回帰の係数!$B$19*重回帰分析!D126+重回帰の係数!$B$20*重回帰分析!E126+重回帰の係数!$B$21*重回帰分析!F126+重回帰の係数!$B$22*重回帰分析!G126+重回帰の係数!$B$17</f>
        <v>218.97359864339541</v>
      </c>
      <c r="J126">
        <f t="shared" si="1"/>
        <v>2.9735986433954054</v>
      </c>
    </row>
    <row r="127" spans="2:10">
      <c r="B127" s="7">
        <v>43590</v>
      </c>
      <c r="C127">
        <f>IF(OR(アイスクリームの売り上げデータ!B127=1,アイスクリームの売り上げデータ!B127=7),1,0)</f>
        <v>1</v>
      </c>
      <c r="D127">
        <f>アイスクリームの売り上げデータ!C127</f>
        <v>18.899999999999999</v>
      </c>
      <c r="E127">
        <f>アイスクリームの売り上げデータ!D127</f>
        <v>25.2</v>
      </c>
      <c r="F127">
        <f>アイスクリームの売り上げデータ!E127</f>
        <v>12.5</v>
      </c>
      <c r="G127">
        <f>アイスクリームの売り上げデータ!F127</f>
        <v>0</v>
      </c>
      <c r="H127">
        <f>アイスクリームの売り上げデータ!G127</f>
        <v>218</v>
      </c>
      <c r="I127">
        <f>重回帰の係数!$B$18*重回帰分析!C127+重回帰の係数!$B$19*重回帰分析!D127+重回帰の係数!$B$20*重回帰分析!E127+重回帰の係数!$B$21*重回帰分析!F127+重回帰の係数!$B$22*重回帰分析!G127+重回帰の係数!$B$17</f>
        <v>219.01360266931141</v>
      </c>
      <c r="J127">
        <f t="shared" si="1"/>
        <v>1.0136026693114104</v>
      </c>
    </row>
    <row r="128" spans="2:10">
      <c r="B128" s="7">
        <v>43591</v>
      </c>
      <c r="C128">
        <f>IF(OR(アイスクリームの売り上げデータ!B128=1,アイスクリームの売り上げデータ!B128=7),1,0)</f>
        <v>0</v>
      </c>
      <c r="D128">
        <f>アイスクリームの売り上げデータ!C128</f>
        <v>18.8</v>
      </c>
      <c r="E128">
        <f>アイスクリームの売り上げデータ!D128</f>
        <v>22.1</v>
      </c>
      <c r="F128">
        <f>アイスクリームの売り上げデータ!E128</f>
        <v>15.1</v>
      </c>
      <c r="G128">
        <f>アイスクリームの売り上げデータ!F128</f>
        <v>0</v>
      </c>
      <c r="H128">
        <f>アイスクリームの売り上げデータ!G128</f>
        <v>124</v>
      </c>
      <c r="I128">
        <f>重回帰の係数!$B$18*重回帰分析!C128+重回帰の係数!$B$19*重回帰分析!D128+重回帰の係数!$B$20*重回帰分析!E128+重回帰の係数!$B$21*重回帰分析!F128+重回帰の係数!$B$22*重回帰分析!G128+重回帰の係数!$B$17</f>
        <v>154.40755996796725</v>
      </c>
      <c r="J128">
        <f t="shared" si="1"/>
        <v>30.407559967967245</v>
      </c>
    </row>
    <row r="129" spans="2:10">
      <c r="B129" s="7">
        <v>43592</v>
      </c>
      <c r="C129">
        <f>IF(OR(アイスクリームの売り上げデータ!B129=1,アイスクリームの売り上げデータ!B129=7),1,0)</f>
        <v>0</v>
      </c>
      <c r="D129">
        <f>アイスクリームの売り上げデータ!C129</f>
        <v>15.3</v>
      </c>
      <c r="E129">
        <f>アイスクリームの売り上げデータ!D129</f>
        <v>20.9</v>
      </c>
      <c r="F129">
        <f>アイスクリームの売り上げデータ!E129</f>
        <v>10.8</v>
      </c>
      <c r="G129">
        <f>アイスクリームの売り上げデータ!F129</f>
        <v>0</v>
      </c>
      <c r="H129">
        <f>アイスクリームの売り上げデータ!G129</f>
        <v>135</v>
      </c>
      <c r="I129">
        <f>重回帰の係数!$B$18*重回帰分析!C129+重回帰の係数!$B$19*重回帰分析!D129+重回帰の係数!$B$20*重回帰分析!E129+重回帰の係数!$B$21*重回帰分析!F129+重回帰の係数!$B$22*重回帰分析!G129+重回帰の係数!$B$17</f>
        <v>142.64445592092741</v>
      </c>
      <c r="J129">
        <f t="shared" si="1"/>
        <v>7.6444559209274132</v>
      </c>
    </row>
    <row r="130" spans="2:10">
      <c r="B130" s="7">
        <v>43593</v>
      </c>
      <c r="C130">
        <f>IF(OR(アイスクリームの売り上げデータ!B130=1,アイスクリームの売り上げデータ!B130=7),1,0)</f>
        <v>0</v>
      </c>
      <c r="D130">
        <f>アイスクリームの売り上げデータ!C130</f>
        <v>16.5</v>
      </c>
      <c r="E130">
        <f>アイスクリームの売り上げデータ!D130</f>
        <v>22.7</v>
      </c>
      <c r="F130">
        <f>アイスクリームの売り上げデータ!E130</f>
        <v>7.9</v>
      </c>
      <c r="G130">
        <f>アイスクリームの売り上げデータ!F130</f>
        <v>0</v>
      </c>
      <c r="H130">
        <f>アイスクリームの売り上げデータ!G130</f>
        <v>178</v>
      </c>
      <c r="I130">
        <f>重回帰の係数!$B$18*重回帰分析!C130+重回帰の係数!$B$19*重回帰分析!D130+重回帰の係数!$B$20*重回帰分析!E130+重回帰の係数!$B$21*重回帰分析!F130+重回帰の係数!$B$22*重回帰分析!G130+重回帰の係数!$B$17</f>
        <v>144.06987396351482</v>
      </c>
      <c r="J130">
        <f t="shared" si="1"/>
        <v>33.930126036485177</v>
      </c>
    </row>
    <row r="131" spans="2:10">
      <c r="B131" s="7">
        <v>43594</v>
      </c>
      <c r="C131">
        <f>IF(OR(アイスクリームの売り上げデータ!B131=1,アイスクリームの売り上げデータ!B131=7),1,0)</f>
        <v>0</v>
      </c>
      <c r="D131">
        <f>アイスクリームの売り上げデータ!C131</f>
        <v>18.600000000000001</v>
      </c>
      <c r="E131">
        <f>アイスクリームの売り上げデータ!D131</f>
        <v>22.7</v>
      </c>
      <c r="F131">
        <f>アイスクリームの売り上げデータ!E131</f>
        <v>14.3</v>
      </c>
      <c r="G131">
        <f>アイスクリームの売り上げデータ!F131</f>
        <v>0</v>
      </c>
      <c r="H131">
        <f>アイスクリームの売り上げデータ!G131</f>
        <v>163</v>
      </c>
      <c r="I131">
        <f>重回帰の係数!$B$18*重回帰分析!C131+重回帰の係数!$B$19*重回帰分析!D131+重回帰の係数!$B$20*重回帰分析!E131+重回帰の係数!$B$21*重回帰分析!F131+重回帰の係数!$B$22*重回帰分析!G131+重回帰の係数!$B$17</f>
        <v>153.73774644952437</v>
      </c>
      <c r="J131">
        <f t="shared" si="1"/>
        <v>9.2622535504756343</v>
      </c>
    </row>
    <row r="132" spans="2:10">
      <c r="B132" s="7">
        <v>43595</v>
      </c>
      <c r="C132">
        <f>IF(OR(アイスクリームの売り上げデータ!B132=1,アイスクリームの売り上げデータ!B132=7),1,0)</f>
        <v>0</v>
      </c>
      <c r="D132">
        <f>アイスクリームの売り上げデータ!C132</f>
        <v>20.6</v>
      </c>
      <c r="E132">
        <f>アイスクリームの売り上げデータ!D132</f>
        <v>27.1</v>
      </c>
      <c r="F132">
        <f>アイスクリームの売り上げデータ!E132</f>
        <v>13.9</v>
      </c>
      <c r="G132">
        <f>アイスクリームの売り上げデータ!F132</f>
        <v>0</v>
      </c>
      <c r="H132">
        <f>アイスクリームの売り上げデータ!G132</f>
        <v>155</v>
      </c>
      <c r="I132">
        <f>重回帰の係数!$B$18*重回帰分析!C132+重回帰の係数!$B$19*重回帰分析!D132+重回帰の係数!$B$20*重回帰分析!E132+重回帰の係数!$B$21*重回帰分析!F132+重回帰の係数!$B$22*重回帰分析!G132+重回帰の係数!$B$17</f>
        <v>160.65278120129111</v>
      </c>
      <c r="J132">
        <f t="shared" ref="J132:J195" si="2">ABS(H132-I132)</f>
        <v>5.6527812012911056</v>
      </c>
    </row>
    <row r="133" spans="2:10">
      <c r="B133" s="7">
        <v>43596</v>
      </c>
      <c r="C133">
        <f>IF(OR(アイスクリームの売り上げデータ!B133=1,アイスクリームの売り上げデータ!B133=7),1,0)</f>
        <v>1</v>
      </c>
      <c r="D133">
        <f>アイスクリームの売り上げデータ!C133</f>
        <v>20.9</v>
      </c>
      <c r="E133">
        <f>アイスクリームの売り上げデータ!D133</f>
        <v>27.8</v>
      </c>
      <c r="F133">
        <f>アイスクリームの売り上げデータ!E133</f>
        <v>15.3</v>
      </c>
      <c r="G133">
        <f>アイスクリームの売り上げデータ!F133</f>
        <v>0</v>
      </c>
      <c r="H133">
        <f>アイスクリームの売り上げデータ!G133</f>
        <v>217</v>
      </c>
      <c r="I133">
        <f>重回帰の係数!$B$18*重回帰分析!C133+重回帰の係数!$B$19*重回帰分析!D133+重回帰の係数!$B$20*重回帰分析!E133+重回帰の係数!$B$21*重回帰分析!F133+重回帰の係数!$B$22*重回帰分析!G133+重回帰の係数!$B$17</f>
        <v>227.30649127581444</v>
      </c>
      <c r="J133">
        <f t="shared" si="2"/>
        <v>10.306491275814437</v>
      </c>
    </row>
    <row r="134" spans="2:10">
      <c r="B134" s="7">
        <v>43597</v>
      </c>
      <c r="C134">
        <f>IF(OR(アイスクリームの売り上げデータ!B134=1,アイスクリームの売り上げデータ!B134=7),1,0)</f>
        <v>1</v>
      </c>
      <c r="D134">
        <f>アイスクリームの売り上げデータ!C134</f>
        <v>17.600000000000001</v>
      </c>
      <c r="E134">
        <f>アイスクリームの売り上げデータ!D134</f>
        <v>22.2</v>
      </c>
      <c r="F134">
        <f>アイスクリームの売り上げデータ!E134</f>
        <v>14.5</v>
      </c>
      <c r="G134">
        <f>アイスクリームの売り上げデータ!F134</f>
        <v>0</v>
      </c>
      <c r="H134">
        <f>アイスクリームの売り上げデータ!G134</f>
        <v>236</v>
      </c>
      <c r="I134">
        <f>重回帰の係数!$B$18*重回帰分析!C134+重回帰の係数!$B$19*重回帰分析!D134+重回帰の係数!$B$20*重回帰分析!E134+重回帰の係数!$B$21*重回帰分析!F134+重回帰の係数!$B$22*重回帰分析!G134+重回帰の係数!$B$17</f>
        <v>215.83465858621776</v>
      </c>
      <c r="J134">
        <f t="shared" si="2"/>
        <v>20.165341413782244</v>
      </c>
    </row>
    <row r="135" spans="2:10">
      <c r="B135" s="7">
        <v>43598</v>
      </c>
      <c r="C135">
        <f>IF(OR(アイスクリームの売り上げデータ!B135=1,アイスクリームの売り上げデータ!B135=7),1,0)</f>
        <v>0</v>
      </c>
      <c r="D135">
        <f>アイスクリームの売り上げデータ!C135</f>
        <v>17.7</v>
      </c>
      <c r="E135">
        <f>アイスクリームの売り上げデータ!D135</f>
        <v>22.6</v>
      </c>
      <c r="F135">
        <f>アイスクリームの売り上げデータ!E135</f>
        <v>13.3</v>
      </c>
      <c r="G135">
        <f>アイスクリームの売り上げデータ!F135</f>
        <v>0</v>
      </c>
      <c r="H135">
        <f>アイスクリームの売り上げデータ!G135</f>
        <v>127</v>
      </c>
      <c r="I135">
        <f>重回帰の係数!$B$18*重回帰分析!C135+重回帰の係数!$B$19*重回帰分析!D135+重回帰の係数!$B$20*重回帰分析!E135+重回帰の係数!$B$21*重回帰分析!F135+重回帰の係数!$B$22*重回帰分析!G135+重回帰の係数!$B$17</f>
        <v>150.93953910884781</v>
      </c>
      <c r="J135">
        <f t="shared" si="2"/>
        <v>23.939539108847811</v>
      </c>
    </row>
    <row r="136" spans="2:10">
      <c r="B136" s="7">
        <v>43599</v>
      </c>
      <c r="C136">
        <f>IF(OR(アイスクリームの売り上げデータ!B136=1,アイスクリームの売り上げデータ!B136=7),1,0)</f>
        <v>0</v>
      </c>
      <c r="D136">
        <f>アイスクリームの売り上げデータ!C136</f>
        <v>17.899999999999999</v>
      </c>
      <c r="E136">
        <f>アイスクリームの売り上げデータ!D136</f>
        <v>19.3</v>
      </c>
      <c r="F136">
        <f>アイスクリームの売り上げデータ!E136</f>
        <v>16.100000000000001</v>
      </c>
      <c r="G136">
        <f>アイスクリームの売り上げデータ!F136</f>
        <v>0.5</v>
      </c>
      <c r="H136">
        <f>アイスクリームの売り上げデータ!G136</f>
        <v>139</v>
      </c>
      <c r="I136">
        <f>重回帰の係数!$B$18*重回帰分析!C136+重回帰の係数!$B$19*重回帰分析!D136+重回帰の係数!$B$20*重回帰分析!E136+重回帰の係数!$B$21*重回帰分析!F136+重回帰の係数!$B$22*重回帰分析!G136+重回帰の係数!$B$17</f>
        <v>150.83860203913571</v>
      </c>
      <c r="J136">
        <f t="shared" si="2"/>
        <v>11.838602039135708</v>
      </c>
    </row>
    <row r="137" spans="2:10">
      <c r="B137" s="7">
        <v>43600</v>
      </c>
      <c r="C137">
        <f>IF(OR(アイスクリームの売り上げデータ!B137=1,アイスクリームの売り上げデータ!B137=7),1,0)</f>
        <v>0</v>
      </c>
      <c r="D137">
        <f>アイスクリームの売り上げデータ!C137</f>
        <v>18.7</v>
      </c>
      <c r="E137">
        <f>アイスクリームの売り上げデータ!D137</f>
        <v>23.8</v>
      </c>
      <c r="F137">
        <f>アイスクリームの売り上げデータ!E137</f>
        <v>15.7</v>
      </c>
      <c r="G137">
        <f>アイスクリームの売り上げデータ!F137</f>
        <v>0</v>
      </c>
      <c r="H137">
        <f>アイスクリームの売り上げデータ!G137</f>
        <v>181</v>
      </c>
      <c r="I137">
        <f>重回帰の係数!$B$18*重回帰分析!C137+重回帰の係数!$B$19*重回帰分析!D137+重回帰の係数!$B$20*重回帰分析!E137+重回帰の係数!$B$21*重回帰分析!F137+重回帰の係数!$B$22*重回帰分析!G137+重回帰の係数!$B$17</f>
        <v>155.82900622107172</v>
      </c>
      <c r="J137">
        <f t="shared" si="2"/>
        <v>25.170993778928278</v>
      </c>
    </row>
    <row r="138" spans="2:10">
      <c r="B138" s="7">
        <v>43601</v>
      </c>
      <c r="C138">
        <f>IF(OR(アイスクリームの売り上げデータ!B138=1,アイスクリームの売り上げデータ!B138=7),1,0)</f>
        <v>0</v>
      </c>
      <c r="D138">
        <f>アイスクリームの売り上げデータ!C138</f>
        <v>20</v>
      </c>
      <c r="E138">
        <f>アイスクリームの売り上げデータ!D138</f>
        <v>24.6</v>
      </c>
      <c r="F138">
        <f>アイスクリームの売り上げデータ!E138</f>
        <v>16</v>
      </c>
      <c r="G138">
        <f>アイスクリームの売り上げデータ!F138</f>
        <v>0</v>
      </c>
      <c r="H138">
        <f>アイスクリームの売り上げデータ!G138</f>
        <v>159</v>
      </c>
      <c r="I138">
        <f>重回帰の係数!$B$18*重回帰分析!C138+重回帰の係数!$B$19*重回帰分析!D138+重回帰の係数!$B$20*重回帰分析!E138+重回帰の係数!$B$21*重回帰分析!F138+重回帰の係数!$B$22*重回帰分析!G138+重回帰の係数!$B$17</f>
        <v>159.38606243106437</v>
      </c>
      <c r="J138">
        <f t="shared" si="2"/>
        <v>0.38606243106437432</v>
      </c>
    </row>
    <row r="139" spans="2:10">
      <c r="B139" s="7">
        <v>43602</v>
      </c>
      <c r="C139">
        <f>IF(OR(アイスクリームの売り上げデータ!B139=1,アイスクリームの売り上げデータ!B139=7),1,0)</f>
        <v>0</v>
      </c>
      <c r="D139">
        <f>アイスクリームの売り上げデータ!C139</f>
        <v>20</v>
      </c>
      <c r="E139">
        <f>アイスクリームの売り上げデータ!D139</f>
        <v>25.9</v>
      </c>
      <c r="F139">
        <f>アイスクリームの売り上げデータ!E139</f>
        <v>15.3</v>
      </c>
      <c r="G139">
        <f>アイスクリームの売り上げデータ!F139</f>
        <v>0</v>
      </c>
      <c r="H139">
        <f>アイスクリームの売り上げデータ!G139</f>
        <v>162</v>
      </c>
      <c r="I139">
        <f>重回帰の係数!$B$18*重回帰分析!C139+重回帰の係数!$B$19*重回帰分析!D139+重回帰の係数!$B$20*重回帰分析!E139+重回帰の係数!$B$21*重回帰分析!F139+重回帰の係数!$B$22*重回帰分析!G139+重回帰の係数!$B$17</f>
        <v>159.69687723153356</v>
      </c>
      <c r="J139">
        <f t="shared" si="2"/>
        <v>2.3031227684664373</v>
      </c>
    </row>
    <row r="140" spans="2:10">
      <c r="B140" s="7">
        <v>43603</v>
      </c>
      <c r="C140">
        <f>IF(OR(アイスクリームの売り上げデータ!B140=1,アイスクリームの売り上げデータ!B140=7),1,0)</f>
        <v>1</v>
      </c>
      <c r="D140">
        <f>アイスクリームの売り上げデータ!C140</f>
        <v>20.3</v>
      </c>
      <c r="E140">
        <f>アイスクリームの売り上げデータ!D140</f>
        <v>25.6</v>
      </c>
      <c r="F140">
        <f>アイスクリームの売り上げデータ!E140</f>
        <v>15.6</v>
      </c>
      <c r="G140">
        <f>アイスクリームの売り上げデータ!F140</f>
        <v>0</v>
      </c>
      <c r="H140">
        <f>アイスクリームの売り上げデータ!G140</f>
        <v>194</v>
      </c>
      <c r="I140">
        <f>重回帰の係数!$B$18*重回帰分析!C140+重回帰の係数!$B$19*重回帰分析!D140+重回帰の係数!$B$20*重回帰分析!E140+重回帰の係数!$B$21*重回帰分析!F140+重回帰の係数!$B$22*重回帰分析!G140+重回帰の係数!$B$17</f>
        <v>224.78339786570564</v>
      </c>
      <c r="J140">
        <f t="shared" si="2"/>
        <v>30.783397865705638</v>
      </c>
    </row>
    <row r="141" spans="2:10">
      <c r="B141" s="7">
        <v>43604</v>
      </c>
      <c r="C141">
        <f>IF(OR(アイスクリームの売り上げデータ!B141=1,アイスクリームの売り上げデータ!B141=7),1,0)</f>
        <v>1</v>
      </c>
      <c r="D141">
        <f>アイスクリームの売り上げデータ!C141</f>
        <v>20.5</v>
      </c>
      <c r="E141">
        <f>アイスクリームの売り上げデータ!D141</f>
        <v>25.2</v>
      </c>
      <c r="F141">
        <f>アイスクリームの売り上げデータ!E141</f>
        <v>17.5</v>
      </c>
      <c r="G141">
        <f>アイスクリームの売り上げデータ!F141</f>
        <v>0</v>
      </c>
      <c r="H141">
        <f>アイスクリームの売り上げデータ!G141</f>
        <v>240</v>
      </c>
      <c r="I141">
        <f>重回帰の係数!$B$18*重回帰分析!C141+重回帰の係数!$B$19*重回帰分析!D141+重回帰の係数!$B$20*重回帰分析!E141+重回帰の係数!$B$21*重回帰分析!F141+重回帰の係数!$B$22*重回帰分析!G141+重回帰の係数!$B$17</f>
        <v>226.4799580493779</v>
      </c>
      <c r="J141">
        <f t="shared" si="2"/>
        <v>13.520041950622101</v>
      </c>
    </row>
    <row r="142" spans="2:10">
      <c r="B142" s="7">
        <v>43605</v>
      </c>
      <c r="C142">
        <f>IF(OR(アイスクリームの売り上げデータ!B142=1,アイスクリームの売り上げデータ!B142=7),1,0)</f>
        <v>0</v>
      </c>
      <c r="D142">
        <f>アイスクリームの売り上げデータ!C142</f>
        <v>20.5</v>
      </c>
      <c r="E142">
        <f>アイスクリームの売り上げデータ!D142</f>
        <v>25</v>
      </c>
      <c r="F142">
        <f>アイスクリームの売り上げデータ!E142</f>
        <v>16.5</v>
      </c>
      <c r="G142">
        <f>アイスクリームの売り上げデータ!F142</f>
        <v>0</v>
      </c>
      <c r="H142">
        <f>アイスクリームの売り上げデータ!G142</f>
        <v>134</v>
      </c>
      <c r="I142">
        <f>重回帰の係数!$B$18*重回帰分析!C142+重回帰の係数!$B$19*重回帰分析!D142+重回帰の係数!$B$20*重回帰分析!E142+重回帰の係数!$B$21*重回帰分析!F142+重回帰の係数!$B$22*重回帰分析!G142+重回帰の係数!$B$17</f>
        <v>161.12828058429201</v>
      </c>
      <c r="J142">
        <f t="shared" si="2"/>
        <v>27.128280584292014</v>
      </c>
    </row>
    <row r="143" spans="2:10">
      <c r="B143" s="7">
        <v>43606</v>
      </c>
      <c r="C143">
        <f>IF(OR(アイスクリームの売り上げデータ!B143=1,アイスクリームの売り上げデータ!B143=7),1,0)</f>
        <v>0</v>
      </c>
      <c r="D143">
        <f>アイスクリームの売り上げデータ!C143</f>
        <v>19.399999999999999</v>
      </c>
      <c r="E143">
        <f>アイスクリームの売り上げデータ!D143</f>
        <v>21.9</v>
      </c>
      <c r="F143">
        <f>アイスクリームの売り上げデータ!E143</f>
        <v>16.3</v>
      </c>
      <c r="G143">
        <f>アイスクリームの売り上げデータ!F143</f>
        <v>82</v>
      </c>
      <c r="H143">
        <f>アイスクリームの売り上げデータ!G143</f>
        <v>69</v>
      </c>
      <c r="I143">
        <f>重回帰の係数!$B$18*重回帰分析!C143+重回帰の係数!$B$19*重回帰分析!D143+重回帰の係数!$B$20*重回帰分析!E143+重回帰の係数!$B$21*重回帰分析!F143+重回帰の係数!$B$22*重回帰分析!G143+重回帰の係数!$B$17</f>
        <v>63.387536736093566</v>
      </c>
      <c r="J143">
        <f t="shared" si="2"/>
        <v>5.6124632639064345</v>
      </c>
    </row>
    <row r="144" spans="2:10">
      <c r="B144" s="7">
        <v>43607</v>
      </c>
      <c r="C144">
        <f>IF(OR(アイスクリームの売り上げデータ!B144=1,アイスクリームの売り上げデータ!B144=7),1,0)</f>
        <v>0</v>
      </c>
      <c r="D144">
        <f>アイスクリームの売り上げデータ!C144</f>
        <v>19.399999999999999</v>
      </c>
      <c r="E144">
        <f>アイスクリームの売り上げデータ!D144</f>
        <v>25.2</v>
      </c>
      <c r="F144">
        <f>アイスクリームの売り上げデータ!E144</f>
        <v>14.1</v>
      </c>
      <c r="G144">
        <f>アイスクリームの売り上げデータ!F144</f>
        <v>0</v>
      </c>
      <c r="H144">
        <f>アイスクリームの売り上げデータ!G144</f>
        <v>183</v>
      </c>
      <c r="I144">
        <f>重回帰の係数!$B$18*重回帰分析!C144+重回帰の係数!$B$19*重回帰分析!D144+重回帰の係数!$B$20*重回帰分析!E144+重回帰の係数!$B$21*重回帰分析!F144+重回帰の係数!$B$22*重回帰分析!G144+重回帰の係数!$B$17</f>
        <v>156.97124679098431</v>
      </c>
      <c r="J144">
        <f t="shared" si="2"/>
        <v>26.02875320901569</v>
      </c>
    </row>
    <row r="145" spans="2:10">
      <c r="B145" s="7">
        <v>43608</v>
      </c>
      <c r="C145">
        <f>IF(OR(アイスクリームの売り上げデータ!B145=1,アイスクリームの売り上げデータ!B145=7),1,0)</f>
        <v>0</v>
      </c>
      <c r="D145">
        <f>アイスクリームの売り上げデータ!C145</f>
        <v>21.3</v>
      </c>
      <c r="E145">
        <f>アイスクリームの売り上げデータ!D145</f>
        <v>27</v>
      </c>
      <c r="F145">
        <f>アイスクリームの売り上げデータ!E145</f>
        <v>15.2</v>
      </c>
      <c r="G145">
        <f>アイスクリームの売り上げデータ!F145</f>
        <v>0</v>
      </c>
      <c r="H145">
        <f>アイスクリームの売り上げデータ!G145</f>
        <v>151</v>
      </c>
      <c r="I145">
        <f>重回帰の係数!$B$18*重回帰分析!C145+重回帰の係数!$B$19*重回帰分析!D145+重回帰の係数!$B$20*重回帰分析!E145+重回帰の係数!$B$21*重回帰分析!F145+重回帰の係数!$B$22*重回帰分析!G145+重回帰の係数!$B$17</f>
        <v>163.13236821985186</v>
      </c>
      <c r="J145">
        <f t="shared" si="2"/>
        <v>12.132368219851855</v>
      </c>
    </row>
    <row r="146" spans="2:10">
      <c r="B146" s="7">
        <v>43609</v>
      </c>
      <c r="C146">
        <f>IF(OR(アイスクリームの売り上げデータ!B146=1,アイスクリームの売り上げデータ!B146=7),1,0)</f>
        <v>0</v>
      </c>
      <c r="D146">
        <f>アイスクリームの売り上げデータ!C146</f>
        <v>23.1</v>
      </c>
      <c r="E146">
        <f>アイスクリームの売り上げデータ!D146</f>
        <v>31</v>
      </c>
      <c r="F146">
        <f>アイスクリームの売り上げデータ!E146</f>
        <v>16.399999999999999</v>
      </c>
      <c r="G146">
        <f>アイスクリームの売り上げデータ!F146</f>
        <v>0</v>
      </c>
      <c r="H146">
        <f>アイスクリームの売り上げデータ!G146</f>
        <v>172</v>
      </c>
      <c r="I146">
        <f>重回帰の係数!$B$18*重回帰分析!C146+重回帰の係数!$B$19*重回帰分析!D146+重回帰の係数!$B$20*重回帰分析!E146+重回帰の係数!$B$21*重回帰分析!F146+重回帰の係数!$B$22*重回帰分析!G146+重回帰の係数!$B$17</f>
        <v>170.64742355834375</v>
      </c>
      <c r="J146">
        <f t="shared" si="2"/>
        <v>1.3525764416562538</v>
      </c>
    </row>
    <row r="147" spans="2:10">
      <c r="B147" s="7">
        <v>43610</v>
      </c>
      <c r="C147">
        <f>IF(OR(アイスクリームの売り上げデータ!B147=1,アイスクリームの売り上げデータ!B147=7),1,0)</f>
        <v>1</v>
      </c>
      <c r="D147">
        <f>アイスクリームの売り上げデータ!C147</f>
        <v>24.4</v>
      </c>
      <c r="E147">
        <f>アイスクリームの売り上げデータ!D147</f>
        <v>31.9</v>
      </c>
      <c r="F147">
        <f>アイスクリームの売り上げデータ!E147</f>
        <v>17</v>
      </c>
      <c r="G147">
        <f>アイスクリームの売り上げデータ!F147</f>
        <v>0</v>
      </c>
      <c r="H147">
        <f>アイスクリームの売り上げデータ!G147</f>
        <v>231</v>
      </c>
      <c r="I147">
        <f>重回帰の係数!$B$18*重回帰分析!C147+重回帰の係数!$B$19*重回帰分析!D147+重回帰の係数!$B$20*重回帰分析!E147+重回帰の係数!$B$21*重回帰分析!F147+重回帰の係数!$B$22*重回帰分析!G147+重回帰の係数!$B$17</f>
        <v>238.92119717742816</v>
      </c>
      <c r="J147">
        <f t="shared" si="2"/>
        <v>7.9211971774281551</v>
      </c>
    </row>
    <row r="148" spans="2:10">
      <c r="B148" s="7">
        <v>43611</v>
      </c>
      <c r="C148">
        <f>IF(OR(アイスクリームの売り上げデータ!B148=1,アイスクリームの売り上げデータ!B148=7),1,0)</f>
        <v>1</v>
      </c>
      <c r="D148">
        <f>アイスクリームの売り上げデータ!C148</f>
        <v>25.2</v>
      </c>
      <c r="E148">
        <f>アイスクリームの売り上げデータ!D148</f>
        <v>32.6</v>
      </c>
      <c r="F148">
        <f>アイスクリームの売り上げデータ!E148</f>
        <v>18.600000000000001</v>
      </c>
      <c r="G148">
        <f>アイスクリームの売り上げデータ!F148</f>
        <v>0</v>
      </c>
      <c r="H148">
        <f>アイスクリームの売り上げデータ!G148</f>
        <v>248</v>
      </c>
      <c r="I148">
        <f>重回帰の係数!$B$18*重回帰分析!C148+重回帰の係数!$B$19*重回帰分析!D148+重回帰の係数!$B$20*重回帰分析!E148+重回帰の係数!$B$21*重回帰分析!F148+重回帰の係数!$B$22*重回帰分析!G148+重回帰の係数!$B$17</f>
        <v>242.39774195541668</v>
      </c>
      <c r="J148">
        <f t="shared" si="2"/>
        <v>5.6022580445833228</v>
      </c>
    </row>
    <row r="149" spans="2:10">
      <c r="B149" s="7">
        <v>43612</v>
      </c>
      <c r="C149">
        <f>IF(OR(アイスクリームの売り上げデータ!B149=1,アイスクリームの売り上げデータ!B149=7),1,0)</f>
        <v>0</v>
      </c>
      <c r="D149">
        <f>アイスクリームの売り上げデータ!C149</f>
        <v>26.1</v>
      </c>
      <c r="E149">
        <f>アイスクリームの売り上げデータ!D149</f>
        <v>32.4</v>
      </c>
      <c r="F149">
        <f>アイスクリームの売り上げデータ!E149</f>
        <v>19.899999999999999</v>
      </c>
      <c r="G149">
        <f>アイスクリームの売り上げデータ!F149</f>
        <v>0</v>
      </c>
      <c r="H149">
        <f>アイスクリームの売り上げデータ!G149</f>
        <v>149</v>
      </c>
      <c r="I149">
        <f>重回帰の係数!$B$18*重回帰分析!C149+重回帰の係数!$B$19*重回帰分析!D149+重回帰の係数!$B$20*重回帰分析!E149+重回帰の係数!$B$21*重回帰分析!F149+重回帰の係数!$B$22*重回帰分析!G149+重回帰の係数!$B$17</f>
        <v>180.83046808673856</v>
      </c>
      <c r="J149">
        <f t="shared" si="2"/>
        <v>31.830468086738563</v>
      </c>
    </row>
    <row r="150" spans="2:10">
      <c r="B150" s="7">
        <v>43613</v>
      </c>
      <c r="C150">
        <f>IF(OR(アイスクリームの売り上げデータ!B150=1,アイスクリームの売り上げデータ!B150=7),1,0)</f>
        <v>0</v>
      </c>
      <c r="D150">
        <f>アイスクリームの売り上げデータ!C150</f>
        <v>23.5</v>
      </c>
      <c r="E150">
        <f>アイスクリームの売り上げデータ!D150</f>
        <v>28.1</v>
      </c>
      <c r="F150">
        <f>アイスクリームの売り上げデータ!E150</f>
        <v>19.100000000000001</v>
      </c>
      <c r="G150">
        <f>アイスクリームの売り上げデータ!F150</f>
        <v>1</v>
      </c>
      <c r="H150">
        <f>アイスクリームの売り上げデータ!G150</f>
        <v>168</v>
      </c>
      <c r="I150">
        <f>重回帰の係数!$B$18*重回帰分析!C150+重回帰の係数!$B$19*重回帰分析!D150+重回帰の係数!$B$20*重回帰分析!E150+重回帰の係数!$B$21*重回帰分析!F150+重回帰の係数!$B$22*重回帰分析!G150+重回帰の係数!$B$17</f>
        <v>170.59442060185648</v>
      </c>
      <c r="J150">
        <f t="shared" si="2"/>
        <v>2.5944206018564842</v>
      </c>
    </row>
    <row r="151" spans="2:10">
      <c r="B151" s="7">
        <v>43614</v>
      </c>
      <c r="C151">
        <f>IF(OR(アイスクリームの売り上げデータ!B151=1,アイスクリームの売り上げデータ!B151=7),1,0)</f>
        <v>0</v>
      </c>
      <c r="D151">
        <f>アイスクリームの売り上げデータ!C151</f>
        <v>20.2</v>
      </c>
      <c r="E151">
        <f>アイスクリームの売り上げデータ!D151</f>
        <v>25.1</v>
      </c>
      <c r="F151">
        <f>アイスクリームの売り上げデータ!E151</f>
        <v>16.8</v>
      </c>
      <c r="G151">
        <f>アイスクリームの売り上げデータ!F151</f>
        <v>7.5</v>
      </c>
      <c r="H151">
        <f>アイスクリームの売り上げデータ!G151</f>
        <v>174</v>
      </c>
      <c r="I151">
        <f>重回帰の係数!$B$18*重回帰分析!C151+重回帰の係数!$B$19*重回帰分析!D151+重回帰の係数!$B$20*重回帰分析!E151+重回帰の係数!$B$21*重回帰分析!F151+重回帰の係数!$B$22*重回帰分析!G151+重回帰の係数!$B$17</f>
        <v>152.28029675764031</v>
      </c>
      <c r="J151">
        <f t="shared" si="2"/>
        <v>21.719703242359685</v>
      </c>
    </row>
    <row r="152" spans="2:10">
      <c r="B152" s="7">
        <v>43615</v>
      </c>
      <c r="C152">
        <f>IF(OR(アイスクリームの売り上げデータ!B152=1,アイスクリームの売り上げデータ!B152=7),1,0)</f>
        <v>0</v>
      </c>
      <c r="D152">
        <f>アイスクリームの売り上げデータ!C152</f>
        <v>21.2</v>
      </c>
      <c r="E152">
        <f>アイスクリームの売り上げデータ!D152</f>
        <v>26</v>
      </c>
      <c r="F152">
        <f>アイスクリームの売り上げデータ!E152</f>
        <v>16.600000000000001</v>
      </c>
      <c r="G152">
        <f>アイスクリームの売り上げデータ!F152</f>
        <v>0</v>
      </c>
      <c r="H152">
        <f>アイスクリームの売り上げデータ!G152</f>
        <v>164</v>
      </c>
      <c r="I152">
        <f>重回帰の係数!$B$18*重回帰分析!C152+重回帰の係数!$B$19*重回帰分析!D152+重回帰の係数!$B$20*重回帰分析!E152+重回帰の係数!$B$21*重回帰分析!F152+重回帰の係数!$B$22*重回帰分析!G152+重回帰の係数!$B$17</f>
        <v>163.37828263161015</v>
      </c>
      <c r="J152">
        <f t="shared" si="2"/>
        <v>0.62171736838985225</v>
      </c>
    </row>
    <row r="153" spans="2:10">
      <c r="B153" s="7">
        <v>43616</v>
      </c>
      <c r="C153">
        <f>IF(OR(アイスクリームの売り上げデータ!B153=1,アイスクリームの売り上げデータ!B153=7),1,0)</f>
        <v>0</v>
      </c>
      <c r="D153">
        <f>アイスクリームの売り上げデータ!C153</f>
        <v>21.6</v>
      </c>
      <c r="E153">
        <f>アイスクリームの売り上げデータ!D153</f>
        <v>24.2</v>
      </c>
      <c r="F153">
        <f>アイスクリームの売り上げデータ!E153</f>
        <v>19.5</v>
      </c>
      <c r="G153">
        <f>アイスクリームの売り上げデータ!F153</f>
        <v>0</v>
      </c>
      <c r="H153">
        <f>アイスクリームの売り上げデータ!G153</f>
        <v>175</v>
      </c>
      <c r="I153">
        <f>重回帰の係数!$B$18*重回帰分析!C153+重回帰の係数!$B$19*重回帰分析!D153+重回帰の係数!$B$20*重回帰分析!E153+重回帰の係数!$B$21*重回帰分析!F153+重回帰の係数!$B$22*重回帰分析!G153+重回帰の係数!$B$17</f>
        <v>165.36632918977591</v>
      </c>
      <c r="J153">
        <f t="shared" si="2"/>
        <v>9.6336708102240891</v>
      </c>
    </row>
    <row r="154" spans="2:10">
      <c r="B154" s="7">
        <v>43617</v>
      </c>
      <c r="C154">
        <f>IF(OR(アイスクリームの売り上げデータ!B154=1,アイスクリームの売り上げデータ!B154=7),1,0)</f>
        <v>1</v>
      </c>
      <c r="D154">
        <f>アイスクリームの売り上げデータ!C154</f>
        <v>21.8</v>
      </c>
      <c r="E154">
        <f>アイスクリームの売り上げデータ!D154</f>
        <v>25.7</v>
      </c>
      <c r="F154">
        <f>アイスクリームの売り上げデータ!E154</f>
        <v>18.600000000000001</v>
      </c>
      <c r="G154">
        <f>アイスクリームの売り上げデータ!F154</f>
        <v>0</v>
      </c>
      <c r="H154">
        <f>アイスクリームの売り上げデータ!G154</f>
        <v>207</v>
      </c>
      <c r="I154">
        <f>重回帰の係数!$B$18*重回帰分析!C154+重回帰の係数!$B$19*重回帰分析!D154+重回帰の係数!$B$20*重回帰分析!E154+重回帰の係数!$B$21*重回帰分析!F154+重回帰の係数!$B$22*重回帰分析!G154+重回帰の係数!$B$17</f>
        <v>230.48281074338996</v>
      </c>
      <c r="J154">
        <f t="shared" si="2"/>
        <v>23.482810743389962</v>
      </c>
    </row>
    <row r="155" spans="2:10">
      <c r="B155" s="7">
        <v>43618</v>
      </c>
      <c r="C155">
        <f>IF(OR(アイスクリームの売り上げデータ!B155=1,アイスクリームの売り上げデータ!B155=7),1,0)</f>
        <v>1</v>
      </c>
      <c r="D155">
        <f>アイスクリームの売り上げデータ!C155</f>
        <v>22</v>
      </c>
      <c r="E155">
        <f>アイスクリームの売り上げデータ!D155</f>
        <v>25</v>
      </c>
      <c r="F155">
        <f>アイスクリームの売り上げデータ!E155</f>
        <v>19</v>
      </c>
      <c r="G155">
        <f>アイスクリームの売り上げデータ!F155</f>
        <v>0</v>
      </c>
      <c r="H155">
        <f>アイスクリームの売り上げデータ!G155</f>
        <v>227</v>
      </c>
      <c r="I155">
        <f>重回帰の係数!$B$18*重回帰分析!C155+重回帰の係数!$B$19*重回帰分析!D155+重回帰の係数!$B$20*重回帰分析!E155+重回帰の係数!$B$21*重回帰分析!F155+重回帰の係数!$B$22*重回帰分析!G155+重回帰の係数!$B$17</f>
        <v>230.76083765259756</v>
      </c>
      <c r="J155">
        <f t="shared" si="2"/>
        <v>3.7608376525975586</v>
      </c>
    </row>
    <row r="156" spans="2:10">
      <c r="B156" s="7">
        <v>43619</v>
      </c>
      <c r="C156">
        <f>IF(OR(アイスクリームの売り上げデータ!B156=1,アイスクリームの売り上げデータ!B156=7),1,0)</f>
        <v>0</v>
      </c>
      <c r="D156">
        <f>アイスクリームの売り上げデータ!C156</f>
        <v>22.2</v>
      </c>
      <c r="E156">
        <f>アイスクリームの売り上げデータ!D156</f>
        <v>27</v>
      </c>
      <c r="F156">
        <f>アイスクリームの売り上げデータ!E156</f>
        <v>18.7</v>
      </c>
      <c r="G156">
        <f>アイスクリームの売り上げデータ!F156</f>
        <v>0</v>
      </c>
      <c r="H156">
        <f>アイスクリームの売り上げデータ!G156</f>
        <v>140</v>
      </c>
      <c r="I156">
        <f>重回帰の係数!$B$18*重回帰分析!C156+重回帰の係数!$B$19*重回帰分析!D156+重回帰の係数!$B$20*重回帰分析!E156+重回帰の係数!$B$21*重回帰分析!F156+重回帰の係数!$B$22*重回帰分析!G156+重回帰の係数!$B$17</f>
        <v>167.88946560329481</v>
      </c>
      <c r="J156">
        <f t="shared" si="2"/>
        <v>27.889465603294809</v>
      </c>
    </row>
    <row r="157" spans="2:10">
      <c r="B157" s="7">
        <v>43620</v>
      </c>
      <c r="C157">
        <f>IF(OR(アイスクリームの売り上げデータ!B157=1,アイスクリームの売り上げデータ!B157=7),1,0)</f>
        <v>0</v>
      </c>
      <c r="D157">
        <f>アイスクリームの売り上げデータ!C157</f>
        <v>22.4</v>
      </c>
      <c r="E157">
        <f>アイスクリームの売り上げデータ!D157</f>
        <v>27.7</v>
      </c>
      <c r="F157">
        <f>アイスクリームの売り上げデータ!E157</f>
        <v>17.600000000000001</v>
      </c>
      <c r="G157">
        <f>アイスクリームの売り上げデータ!F157</f>
        <v>0</v>
      </c>
      <c r="H157">
        <f>アイスクリームの売り上げデータ!G157</f>
        <v>168</v>
      </c>
      <c r="I157">
        <f>重回帰の係数!$B$18*重回帰分析!C157+重回帰の係数!$B$19*重回帰分析!D157+重回帰の係数!$B$20*重回帰分析!E157+重回帰の係数!$B$21*重回帰分析!F157+重回帰の係数!$B$22*重回帰分析!G157+重回帰の係数!$B$17</f>
        <v>167.89740013517167</v>
      </c>
      <c r="J157">
        <f t="shared" si="2"/>
        <v>0.10259986482833483</v>
      </c>
    </row>
    <row r="158" spans="2:10">
      <c r="B158" s="7">
        <v>43621</v>
      </c>
      <c r="C158">
        <f>IF(OR(アイスクリームの売り上げデータ!B158=1,アイスクリームの売り上げデータ!B158=7),1,0)</f>
        <v>0</v>
      </c>
      <c r="D158">
        <f>アイスクリームの売り上げデータ!C158</f>
        <v>22.6</v>
      </c>
      <c r="E158">
        <f>アイスクリームの売り上げデータ!D158</f>
        <v>25.8</v>
      </c>
      <c r="F158">
        <f>アイスクリームの売り上げデータ!E158</f>
        <v>20</v>
      </c>
      <c r="G158">
        <f>アイスクリームの売り上げデータ!F158</f>
        <v>0</v>
      </c>
      <c r="H158">
        <f>アイスクリームの売り上げデータ!G158</f>
        <v>178</v>
      </c>
      <c r="I158">
        <f>重回帰の係数!$B$18*重回帰分析!C158+重回帰の係数!$B$19*重回帰分析!D158+重回帰の係数!$B$20*重回帰分析!E158+重回帰の係数!$B$21*重回帰分析!F158+重回帰の係数!$B$22*重回帰分析!G158+重回帰の係数!$B$17</f>
        <v>168.98591919342175</v>
      </c>
      <c r="J158">
        <f t="shared" si="2"/>
        <v>9.0140808065782494</v>
      </c>
    </row>
    <row r="159" spans="2:10">
      <c r="B159" s="7">
        <v>43622</v>
      </c>
      <c r="C159">
        <f>IF(OR(アイスクリームの売り上げデータ!B159=1,アイスクリームの売り上げデータ!B159=7),1,0)</f>
        <v>0</v>
      </c>
      <c r="D159">
        <f>アイスクリームの売り上げデータ!C159</f>
        <v>25.2</v>
      </c>
      <c r="E159">
        <f>アイスクリームの売り上げデータ!D159</f>
        <v>32.299999999999997</v>
      </c>
      <c r="F159">
        <f>アイスクリームの売り上げデータ!E159</f>
        <v>18.7</v>
      </c>
      <c r="G159">
        <f>アイスクリームの売り上げデータ!F159</f>
        <v>0</v>
      </c>
      <c r="H159">
        <f>アイスクリームの売り上げデータ!G159</f>
        <v>167</v>
      </c>
      <c r="I159">
        <f>重回帰の係数!$B$18*重回帰分析!C159+重回帰の係数!$B$19*重回帰分析!D159+重回帰の係数!$B$20*重回帰分析!E159+重回帰の係数!$B$21*重回帰分析!F159+重回帰の係数!$B$22*重回帰分析!G159+重回帰の係数!$B$17</f>
        <v>177.87014511488945</v>
      </c>
      <c r="J159">
        <f t="shared" si="2"/>
        <v>10.870145114889453</v>
      </c>
    </row>
    <row r="160" spans="2:10">
      <c r="B160" s="7">
        <v>43623</v>
      </c>
      <c r="C160">
        <f>IF(OR(アイスクリームの売り上げデータ!B160=1,アイスクリームの売り上げデータ!B160=7),1,0)</f>
        <v>0</v>
      </c>
      <c r="D160">
        <f>アイスクリームの売り上げデータ!C160</f>
        <v>21</v>
      </c>
      <c r="E160">
        <f>アイスクリームの売り上げデータ!D160</f>
        <v>23.4</v>
      </c>
      <c r="F160">
        <f>アイスクリームの売り上げデータ!E160</f>
        <v>19</v>
      </c>
      <c r="G160">
        <f>アイスクリームの売り上げデータ!F160</f>
        <v>19.5</v>
      </c>
      <c r="H160">
        <f>アイスクリームの売り上げデータ!G160</f>
        <v>137</v>
      </c>
      <c r="I160">
        <f>重回帰の係数!$B$18*重回帰分析!C160+重回帰の係数!$B$19*重回帰分析!D160+重回帰の係数!$B$20*重回帰分析!E160+重回帰の係数!$B$21*重回帰分析!F160+重回帰の係数!$B$22*重回帰分析!G160+重回帰の係数!$B$17</f>
        <v>140.99195929152549</v>
      </c>
      <c r="J160">
        <f t="shared" si="2"/>
        <v>3.9919592915254896</v>
      </c>
    </row>
    <row r="161" spans="2:10">
      <c r="B161" s="7">
        <v>43624</v>
      </c>
      <c r="C161">
        <f>IF(OR(アイスクリームの売り上げデータ!B161=1,アイスクリームの売り上げデータ!B161=7),1,0)</f>
        <v>1</v>
      </c>
      <c r="D161">
        <f>アイスクリームの売り上げデータ!C161</f>
        <v>20.8</v>
      </c>
      <c r="E161">
        <f>アイスクリームの売り上げデータ!D161</f>
        <v>25.4</v>
      </c>
      <c r="F161">
        <f>アイスクリームの売り上げデータ!E161</f>
        <v>18.7</v>
      </c>
      <c r="G161">
        <f>アイスクリームの売り上げデータ!F161</f>
        <v>0</v>
      </c>
      <c r="H161">
        <f>アイスクリームの売り上げデータ!G161</f>
        <v>215</v>
      </c>
      <c r="I161">
        <f>重回帰の係数!$B$18*重回帰分析!C161+重回帰の係数!$B$19*重回帰分析!D161+重回帰の係数!$B$20*重回帰分析!E161+重回帰の係数!$B$21*重回帰分析!F161+重回帰の係数!$B$22*重回帰分析!G161+重回帰の係数!$B$17</f>
        <v>228.22778714283476</v>
      </c>
      <c r="J161">
        <f t="shared" si="2"/>
        <v>13.227787142834757</v>
      </c>
    </row>
    <row r="162" spans="2:10">
      <c r="B162" s="7">
        <v>43625</v>
      </c>
      <c r="C162">
        <f>IF(OR(アイスクリームの売り上げデータ!B162=1,アイスクリームの売り上げデータ!B162=7),1,0)</f>
        <v>1</v>
      </c>
      <c r="D162">
        <f>アイスクリームの売り上げデータ!C162</f>
        <v>17.5</v>
      </c>
      <c r="E162">
        <f>アイスクリームの売り上げデータ!D162</f>
        <v>20.7</v>
      </c>
      <c r="F162">
        <f>アイスクリームの売り上げデータ!E162</f>
        <v>15.9</v>
      </c>
      <c r="G162">
        <f>アイスクリームの売り上げデータ!F162</f>
        <v>10</v>
      </c>
      <c r="H162">
        <f>アイスクリームの売り上げデータ!G162</f>
        <v>212</v>
      </c>
      <c r="I162">
        <f>重回帰の係数!$B$18*重回帰分析!C162+重回帰の係数!$B$19*重回帰分析!D162+重回帰の係数!$B$20*重回帰分析!E162+重回帰の係数!$B$21*重回帰分析!F162+重回帰の係数!$B$22*重回帰分析!G162+重回帰の係数!$B$17</f>
        <v>204.38454558664552</v>
      </c>
      <c r="J162">
        <f t="shared" si="2"/>
        <v>7.6154544133544846</v>
      </c>
    </row>
    <row r="163" spans="2:10">
      <c r="B163" s="7">
        <v>43626</v>
      </c>
      <c r="C163">
        <f>IF(OR(アイスクリームの売り上げデータ!B163=1,アイスクリームの売り上げデータ!B163=7),1,0)</f>
        <v>0</v>
      </c>
      <c r="D163">
        <f>アイスクリームの売り上げデータ!C163</f>
        <v>16.2</v>
      </c>
      <c r="E163">
        <f>アイスクリームの売り上げデータ!D163</f>
        <v>17.399999999999999</v>
      </c>
      <c r="F163">
        <f>アイスクリームの売り上げデータ!E163</f>
        <v>14.9</v>
      </c>
      <c r="G163">
        <f>アイスクリームの売り上げデータ!F163</f>
        <v>92.5</v>
      </c>
      <c r="H163">
        <f>アイスクリームの売り上げデータ!G163</f>
        <v>31</v>
      </c>
      <c r="I163">
        <f>重回帰の係数!$B$18*重回帰分析!C163+重回帰の係数!$B$19*重回帰分析!D163+重回帰の係数!$B$20*重回帰分析!E163+重回帰の係数!$B$21*重回帰分析!F163+重回帰の係数!$B$22*重回帰分析!G163+重回帰の係数!$B$17</f>
        <v>40.459644295595595</v>
      </c>
      <c r="J163">
        <f t="shared" si="2"/>
        <v>9.4596442955955951</v>
      </c>
    </row>
    <row r="164" spans="2:10">
      <c r="B164" s="7">
        <v>43627</v>
      </c>
      <c r="C164">
        <f>IF(OR(アイスクリームの売り上げデータ!B164=1,アイスクリームの売り上げデータ!B164=7),1,0)</f>
        <v>0</v>
      </c>
      <c r="D164">
        <f>アイスクリームの売り上げデータ!C164</f>
        <v>18.3</v>
      </c>
      <c r="E164">
        <f>アイスクリームの売り上げデータ!D164</f>
        <v>23.6</v>
      </c>
      <c r="F164">
        <f>アイスクリームの売り上げデータ!E164</f>
        <v>15</v>
      </c>
      <c r="G164">
        <f>アイスクリームの売り上げデータ!F164</f>
        <v>1</v>
      </c>
      <c r="H164">
        <f>アイスクリームの売り上げデータ!G164</f>
        <v>155</v>
      </c>
      <c r="I164">
        <f>重回帰の係数!$B$18*重回帰分析!C164+重回帰の係数!$B$19*重回帰分析!D164+重回帰の係数!$B$20*重回帰分析!E164+重回帰の係数!$B$21*重回帰分析!F164+重回帰の係数!$B$22*重回帰分析!G164+重回帰の係数!$B$17</f>
        <v>153.13729960031117</v>
      </c>
      <c r="J164">
        <f t="shared" si="2"/>
        <v>1.8627003996888334</v>
      </c>
    </row>
    <row r="165" spans="2:10">
      <c r="B165" s="7">
        <v>43628</v>
      </c>
      <c r="C165">
        <f>IF(OR(アイスクリームの売り上げデータ!B165=1,アイスクリームの売り上げデータ!B165=7),1,0)</f>
        <v>0</v>
      </c>
      <c r="D165">
        <f>アイスクリームの売り上げデータ!C165</f>
        <v>18</v>
      </c>
      <c r="E165">
        <f>アイスクリームの売り上げデータ!D165</f>
        <v>21.5</v>
      </c>
      <c r="F165">
        <f>アイスクリームの売り上げデータ!E165</f>
        <v>14.5</v>
      </c>
      <c r="G165">
        <f>アイスクリームの売り上げデータ!F165</f>
        <v>0.5</v>
      </c>
      <c r="H165">
        <f>アイスクリームの売り上げデータ!G165</f>
        <v>160</v>
      </c>
      <c r="I165">
        <f>重回帰の係数!$B$18*重回帰分析!C165+重回帰の係数!$B$19*重回帰分析!D165+重回帰の係数!$B$20*重回帰分析!E165+重回帰の係数!$B$21*重回帰分析!F165+重回帰の係数!$B$22*重回帰分析!G165+重回帰の係数!$B$17</f>
        <v>151.24123615888766</v>
      </c>
      <c r="J165">
        <f t="shared" si="2"/>
        <v>8.7587638411123407</v>
      </c>
    </row>
    <row r="166" spans="2:10">
      <c r="B166" s="7">
        <v>43629</v>
      </c>
      <c r="C166">
        <f>IF(OR(アイスクリームの売り上げデータ!B166=1,アイスクリームの売り上げデータ!B166=7),1,0)</f>
        <v>0</v>
      </c>
      <c r="D166">
        <f>アイスクリームの売り上げデータ!C166</f>
        <v>20.7</v>
      </c>
      <c r="E166">
        <f>アイスクリームの売り上げデータ!D166</f>
        <v>26.4</v>
      </c>
      <c r="F166">
        <f>アイスクリームの売り上げデータ!E166</f>
        <v>13.9</v>
      </c>
      <c r="G166">
        <f>アイスクリームの売り上げデータ!F166</f>
        <v>0</v>
      </c>
      <c r="H166">
        <f>アイスクリームの売り上げデータ!G166</f>
        <v>151</v>
      </c>
      <c r="I166">
        <f>重回帰の係数!$B$18*重回帰分析!C166+重回帰の係数!$B$19*重回帰分析!D166+重回帰の係数!$B$20*重回帰分析!E166+重回帰の係数!$B$21*重回帰分析!F166+重回帰の係数!$B$22*重回帰分析!G166+重回帰の係数!$B$17</f>
        <v>160.39323531060654</v>
      </c>
      <c r="J166">
        <f t="shared" si="2"/>
        <v>9.393235310606542</v>
      </c>
    </row>
    <row r="167" spans="2:10">
      <c r="B167" s="7">
        <v>43630</v>
      </c>
      <c r="C167">
        <f>IF(OR(アイスクリームの売り上げデータ!B167=1,アイスクリームの売り上げデータ!B167=7),1,0)</f>
        <v>0</v>
      </c>
      <c r="D167">
        <f>アイスクリームの売り上げデータ!C167</f>
        <v>22.2</v>
      </c>
      <c r="E167">
        <f>アイスクリームの売り上げデータ!D167</f>
        <v>26.8</v>
      </c>
      <c r="F167">
        <f>アイスクリームの売り上げデータ!E167</f>
        <v>17.7</v>
      </c>
      <c r="G167">
        <f>アイスクリームの売り上げデータ!F167</f>
        <v>0</v>
      </c>
      <c r="H167">
        <f>アイスクリームの売り上げデータ!G167</f>
        <v>176</v>
      </c>
      <c r="I167">
        <f>重回帰の係数!$B$18*重回帰分析!C167+重回帰の係数!$B$19*重回帰分析!D167+重回帰の係数!$B$20*重回帰分析!E167+重回帰の係数!$B$21*重回帰分析!F167+重回帰の係数!$B$22*重回帰分析!G167+重回帰の係数!$B$17</f>
        <v>166.94377675365166</v>
      </c>
      <c r="J167">
        <f t="shared" si="2"/>
        <v>9.0562232463483383</v>
      </c>
    </row>
    <row r="168" spans="2:10">
      <c r="B168" s="7">
        <v>43631</v>
      </c>
      <c r="C168">
        <f>IF(OR(アイスクリームの売り上げデータ!B168=1,アイスクリームの売り上げデータ!B168=7),1,0)</f>
        <v>1</v>
      </c>
      <c r="D168">
        <f>アイスクリームの売り上げデータ!C168</f>
        <v>17.3</v>
      </c>
      <c r="E168">
        <f>アイスクリームの売り上げデータ!D168</f>
        <v>20.9</v>
      </c>
      <c r="F168">
        <f>アイスクリームの売り上げデータ!E168</f>
        <v>16.2</v>
      </c>
      <c r="G168">
        <f>アイスクリームの売り上げデータ!F168</f>
        <v>51</v>
      </c>
      <c r="H168">
        <f>アイスクリームの売り上げデータ!G168</f>
        <v>144</v>
      </c>
      <c r="I168">
        <f>重回帰の係数!$B$18*重回帰分析!C168+重回帰の係数!$B$19*重回帰分析!D168+重回帰の係数!$B$20*重回帰分析!E168+重回帰の係数!$B$21*重回帰分析!F168+重回帰の係数!$B$22*重回帰分析!G168+重回帰の係数!$B$17</f>
        <v>157.76731887688521</v>
      </c>
      <c r="J168">
        <f t="shared" si="2"/>
        <v>13.767318876885213</v>
      </c>
    </row>
    <row r="169" spans="2:10">
      <c r="B169" s="7">
        <v>43632</v>
      </c>
      <c r="C169">
        <f>IF(OR(アイスクリームの売り上げデータ!B169=1,アイスクリームの売り上げデータ!B169=7),1,0)</f>
        <v>1</v>
      </c>
      <c r="D169">
        <f>アイスクリームの売り上げデータ!C169</f>
        <v>23.5</v>
      </c>
      <c r="E169">
        <f>アイスクリームの売り上げデータ!D169</f>
        <v>30.7</v>
      </c>
      <c r="F169">
        <f>アイスクリームの売り上げデータ!E169</f>
        <v>16.899999999999999</v>
      </c>
      <c r="G169">
        <f>アイスクリームの売り上げデータ!F169</f>
        <v>5</v>
      </c>
      <c r="H169">
        <f>アイスクリームの売り上げデータ!G169</f>
        <v>234</v>
      </c>
      <c r="I169">
        <f>重回帰の係数!$B$18*重回帰分析!C169+重回帰の係数!$B$19*重回帰分析!D169+重回帰の係数!$B$20*重回帰分析!E169+重回帰の係数!$B$21*重回帰分析!F169+重回帰の係数!$B$22*重回帰分析!G169+重回帰の係数!$B$17</f>
        <v>230.43027602279574</v>
      </c>
      <c r="J169">
        <f t="shared" si="2"/>
        <v>3.5697239772042622</v>
      </c>
    </row>
    <row r="170" spans="2:10">
      <c r="B170" s="7">
        <v>43633</v>
      </c>
      <c r="C170">
        <f>IF(OR(アイスクリームの売り上げデータ!B170=1,アイスクリームの売り上げデータ!B170=7),1,0)</f>
        <v>0</v>
      </c>
      <c r="D170">
        <f>アイスクリームの売り上げデータ!C170</f>
        <v>23.6</v>
      </c>
      <c r="E170">
        <f>アイスクリームの売り上げデータ!D170</f>
        <v>28.7</v>
      </c>
      <c r="F170">
        <f>アイスクリームの売り上げデータ!E170</f>
        <v>17.399999999999999</v>
      </c>
      <c r="G170">
        <f>アイスクリームの売り上げデータ!F170</f>
        <v>0</v>
      </c>
      <c r="H170">
        <f>アイスクリームの売り上げデータ!G170</f>
        <v>155</v>
      </c>
      <c r="I170">
        <f>重回帰の係数!$B$18*重回帰分析!C170+重回帰の係数!$B$19*重回帰分析!D170+重回帰の係数!$B$20*重回帰分析!E170+重回帰の係数!$B$21*重回帰分析!F170+重回帰の係数!$B$22*重回帰分析!G170+重回帰の係数!$B$17</f>
        <v>170.97093642346638</v>
      </c>
      <c r="J170">
        <f t="shared" si="2"/>
        <v>15.970936423466384</v>
      </c>
    </row>
    <row r="171" spans="2:10">
      <c r="B171" s="7">
        <v>43634</v>
      </c>
      <c r="C171">
        <f>IF(OR(アイスクリームの売り上げデータ!B171=1,アイスクリームの売り上げデータ!B171=7),1,0)</f>
        <v>0</v>
      </c>
      <c r="D171">
        <f>アイスクリームの売り上げデータ!C171</f>
        <v>23.4</v>
      </c>
      <c r="E171">
        <f>アイスクリームの売り上げデータ!D171</f>
        <v>27.7</v>
      </c>
      <c r="F171">
        <f>アイスクリームの売り上げデータ!E171</f>
        <v>20</v>
      </c>
      <c r="G171">
        <f>アイスクリームの売り上げデータ!F171</f>
        <v>0</v>
      </c>
      <c r="H171">
        <f>アイスクリームの売り上げデータ!G171</f>
        <v>181</v>
      </c>
      <c r="I171">
        <f>重回帰の係数!$B$18*重回帰分析!C171+重回帰の係数!$B$19*重回帰分析!D171+重回帰の係数!$B$20*重回帰分析!E171+重回帰の係数!$B$21*重回帰分析!F171+重回帰の係数!$B$22*重回帰分析!G171+重回帰の係数!$B$17</f>
        <v>171.97620308471278</v>
      </c>
      <c r="J171">
        <f t="shared" si="2"/>
        <v>9.0237969152872211</v>
      </c>
    </row>
    <row r="172" spans="2:10">
      <c r="B172" s="7">
        <v>43635</v>
      </c>
      <c r="C172">
        <f>IF(OR(アイスクリームの売り上げデータ!B172=1,アイスクリームの売り上げデータ!B172=7),1,0)</f>
        <v>0</v>
      </c>
      <c r="D172">
        <f>アイスクリームの売り上げデータ!C172</f>
        <v>23.5</v>
      </c>
      <c r="E172">
        <f>アイスクリームの売り上げデータ!D172</f>
        <v>28.6</v>
      </c>
      <c r="F172">
        <f>アイスクリームの売り上げデータ!E172</f>
        <v>18.8</v>
      </c>
      <c r="G172">
        <f>アイスクリームの売り上げデータ!F172</f>
        <v>0</v>
      </c>
      <c r="H172">
        <f>アイスクリームの売り上げデータ!G172</f>
        <v>190</v>
      </c>
      <c r="I172">
        <f>重回帰の係数!$B$18*重回帰分析!C172+重回帰の係数!$B$19*重回帰分析!D172+重回帰の係数!$B$20*重回帰分析!E172+重回帰の係数!$B$21*重回帰分析!F172+重回帰の係数!$B$22*重回帰分析!G172+重回帰の係数!$B$17</f>
        <v>171.82484895723678</v>
      </c>
      <c r="J172">
        <f t="shared" si="2"/>
        <v>18.175151042763218</v>
      </c>
    </row>
    <row r="173" spans="2:10">
      <c r="B173" s="7">
        <v>43636</v>
      </c>
      <c r="C173">
        <f>IF(OR(アイスクリームの売り上げデータ!B173=1,アイスクリームの売り上げデータ!B173=7),1,0)</f>
        <v>0</v>
      </c>
      <c r="D173">
        <f>アイスクリームの売り上げデータ!C173</f>
        <v>24.1</v>
      </c>
      <c r="E173">
        <f>アイスクリームの売り上げデータ!D173</f>
        <v>29.1</v>
      </c>
      <c r="F173">
        <f>アイスクリームの売り上げデータ!E173</f>
        <v>21.1</v>
      </c>
      <c r="G173">
        <f>アイスクリームの売り上げデータ!F173</f>
        <v>0</v>
      </c>
      <c r="H173">
        <f>アイスクリームの売り上げデータ!G173</f>
        <v>183</v>
      </c>
      <c r="I173">
        <f>重回帰の係数!$B$18*重回帰分析!C173+重回帰の係数!$B$19*重回帰分析!D173+重回帰の係数!$B$20*重回帰分析!E173+重回帰の係数!$B$21*重回帰分析!F173+重回帰の係数!$B$22*重回帰分析!G173+重回帰の係数!$B$17</f>
        <v>175.30700467545449</v>
      </c>
      <c r="J173">
        <f t="shared" si="2"/>
        <v>7.6929953245455067</v>
      </c>
    </row>
    <row r="174" spans="2:10">
      <c r="B174" s="7">
        <v>43637</v>
      </c>
      <c r="C174">
        <f>IF(OR(アイスクリームの売り上げデータ!B174=1,アイスクリームの売り上げデータ!B174=7),1,0)</f>
        <v>0</v>
      </c>
      <c r="D174">
        <f>アイスクリームの売り上げデータ!C174</f>
        <v>24.6</v>
      </c>
      <c r="E174">
        <f>アイスクリームの売り上げデータ!D174</f>
        <v>29.5</v>
      </c>
      <c r="F174">
        <f>アイスクリームの売り上げデータ!E174</f>
        <v>22.3</v>
      </c>
      <c r="G174">
        <f>アイスクリームの売り上げデータ!F174</f>
        <v>0</v>
      </c>
      <c r="H174">
        <f>アイスクリームの売り上げデータ!G174</f>
        <v>184</v>
      </c>
      <c r="I174">
        <f>重回帰の係数!$B$18*重回帰分析!C174+重回帰の係数!$B$19*重回帰分析!D174+重回帰の係数!$B$20*重回帰分析!E174+重回帰の係数!$B$21*重回帰分析!F174+重回帰の係数!$B$22*重回帰分析!G174+重回帰の係数!$B$17</f>
        <v>177.616627537786</v>
      </c>
      <c r="J174">
        <f t="shared" si="2"/>
        <v>6.3833724622139982</v>
      </c>
    </row>
    <row r="175" spans="2:10">
      <c r="B175" s="7">
        <v>43638</v>
      </c>
      <c r="C175">
        <f>IF(OR(アイスクリームの売り上げデータ!B175=1,アイスクリームの売り上げデータ!B175=7),1,0)</f>
        <v>1</v>
      </c>
      <c r="D175">
        <f>アイスクリームの売り上げデータ!C175</f>
        <v>22.2</v>
      </c>
      <c r="E175">
        <f>アイスクリームの売り上げデータ!D175</f>
        <v>25.3</v>
      </c>
      <c r="F175">
        <f>アイスクリームの売り上げデータ!E175</f>
        <v>20.6</v>
      </c>
      <c r="G175">
        <f>アイスクリームの売り上げデータ!F175</f>
        <v>6</v>
      </c>
      <c r="H175">
        <f>アイスクリームの売り上げデータ!G175</f>
        <v>219</v>
      </c>
      <c r="I175">
        <f>重回帰の係数!$B$18*重回帰分析!C175+重回帰の係数!$B$19*重回帰分析!D175+重回帰の係数!$B$20*重回帰分析!E175+重回帰の係数!$B$21*重回帰分析!F175+重回帰の係数!$B$22*重回帰分析!G175+重回帰の係数!$B$17</f>
        <v>225.87216141161497</v>
      </c>
      <c r="J175">
        <f t="shared" si="2"/>
        <v>6.8721614116149681</v>
      </c>
    </row>
    <row r="176" spans="2:10">
      <c r="B176" s="7">
        <v>43639</v>
      </c>
      <c r="C176">
        <f>IF(OR(アイスクリームの売り上げデータ!B176=1,アイスクリームの売り上げデータ!B176=7),1,0)</f>
        <v>1</v>
      </c>
      <c r="D176">
        <f>アイスクリームの売り上げデータ!C176</f>
        <v>21.4</v>
      </c>
      <c r="E176">
        <f>アイスクリームの売り上げデータ!D176</f>
        <v>24</v>
      </c>
      <c r="F176">
        <f>アイスクリームの売り上げデータ!E176</f>
        <v>19.600000000000001</v>
      </c>
      <c r="G176">
        <f>アイスクリームの売り上げデータ!F176</f>
        <v>0</v>
      </c>
      <c r="H176">
        <f>アイスクリームの売り上げデータ!G176</f>
        <v>245</v>
      </c>
      <c r="I176">
        <f>重回帰の係数!$B$18*重回帰分析!C176+重回帰の係数!$B$19*重回帰分析!D176+重回帰の係数!$B$20*重回帰分析!E176+重回帰の係数!$B$21*重回帰分析!F176+重回帰の係数!$B$22*重回帰分析!G176+重回帰の係数!$B$17</f>
        <v>229.29158185193035</v>
      </c>
      <c r="J176">
        <f t="shared" si="2"/>
        <v>15.708418148069654</v>
      </c>
    </row>
    <row r="177" spans="2:10">
      <c r="B177" s="7">
        <v>43640</v>
      </c>
      <c r="C177">
        <f>IF(OR(アイスクリームの売り上げデータ!B177=1,アイスクリームの売り上げデータ!B177=7),1,0)</f>
        <v>0</v>
      </c>
      <c r="D177">
        <f>アイスクリームの売り上げデータ!C177</f>
        <v>19.100000000000001</v>
      </c>
      <c r="E177">
        <f>アイスクリームの売り上げデータ!D177</f>
        <v>21</v>
      </c>
      <c r="F177">
        <f>アイスクリームの売り上げデータ!E177</f>
        <v>17.8</v>
      </c>
      <c r="G177">
        <f>アイスクリームの売り上げデータ!F177</f>
        <v>25.5</v>
      </c>
      <c r="H177">
        <f>アイスクリームの売り上げデータ!G177</f>
        <v>102</v>
      </c>
      <c r="I177">
        <f>重回帰の係数!$B$18*重回帰分析!C177+重回帰の係数!$B$19*重回帰分析!D177+重回帰の係数!$B$20*重回帰分析!E177+重回帰の係数!$B$21*重回帰分析!F177+重回帰の係数!$B$22*重回帰分析!G177+重回帰の係数!$B$17</f>
        <v>127.52949755960266</v>
      </c>
      <c r="J177">
        <f t="shared" si="2"/>
        <v>25.52949755960266</v>
      </c>
    </row>
    <row r="178" spans="2:10">
      <c r="B178" s="7">
        <v>43641</v>
      </c>
      <c r="C178">
        <f>IF(OR(アイスクリームの売り上げデータ!B178=1,アイスクリームの売り上げデータ!B178=7),1,0)</f>
        <v>0</v>
      </c>
      <c r="D178">
        <f>アイスクリームの売り上げデータ!C178</f>
        <v>22.3</v>
      </c>
      <c r="E178">
        <f>アイスクリームの売り上げデータ!D178</f>
        <v>27.3</v>
      </c>
      <c r="F178">
        <f>アイスクリームの売り上げデータ!E178</f>
        <v>17.2</v>
      </c>
      <c r="G178">
        <f>アイスクリームの売り上げデータ!F178</f>
        <v>0</v>
      </c>
      <c r="H178">
        <f>アイスクリームの売り上げデータ!G178</f>
        <v>157</v>
      </c>
      <c r="I178">
        <f>重回帰の係数!$B$18*重回帰分析!C178+重回帰の係数!$B$19*重回帰分析!D178+重回帰の係数!$B$20*重回帰分析!E178+重回帰の係数!$B$21*重回帰分析!F178+重回帰の係数!$B$22*重回帰分析!G178+重回帰の係数!$B$17</f>
        <v>167.08960594771861</v>
      </c>
      <c r="J178">
        <f t="shared" si="2"/>
        <v>10.08960594771861</v>
      </c>
    </row>
    <row r="179" spans="2:10">
      <c r="B179" s="7">
        <v>43642</v>
      </c>
      <c r="C179">
        <f>IF(OR(アイスクリームの売り上げデータ!B179=1,アイスクリームの売り上げデータ!B179=7),1,0)</f>
        <v>0</v>
      </c>
      <c r="D179">
        <f>アイスクリームの売り上げデータ!C179</f>
        <v>24.7</v>
      </c>
      <c r="E179">
        <f>アイスクリームの売り上げデータ!D179</f>
        <v>28.9</v>
      </c>
      <c r="F179">
        <f>アイスクリームの売り上げデータ!E179</f>
        <v>20.399999999999999</v>
      </c>
      <c r="G179">
        <f>アイスクリームの売り上げデータ!F179</f>
        <v>0</v>
      </c>
      <c r="H179">
        <f>アイスクリームの売り上げデータ!G179</f>
        <v>191</v>
      </c>
      <c r="I179">
        <f>重回帰の係数!$B$18*重回帰分析!C179+重回帰の係数!$B$19*重回帰分析!D179+重回帰の係数!$B$20*重回帰分析!E179+重回帰の係数!$B$21*重回帰分析!F179+重回帰の係数!$B$22*重回帰分析!G179+重回帰の係数!$B$17</f>
        <v>175.88453849785265</v>
      </c>
      <c r="J179">
        <f t="shared" si="2"/>
        <v>15.115461502147355</v>
      </c>
    </row>
    <row r="180" spans="2:10">
      <c r="B180" s="7">
        <v>43643</v>
      </c>
      <c r="C180">
        <f>IF(OR(アイスクリームの売り上げデータ!B180=1,アイスクリームの売り上げデータ!B180=7),1,0)</f>
        <v>0</v>
      </c>
      <c r="D180">
        <f>アイスクリームの売り上げデータ!C180</f>
        <v>25.6</v>
      </c>
      <c r="E180">
        <f>アイスクリームの売り上げデータ!D180</f>
        <v>28.7</v>
      </c>
      <c r="F180">
        <f>アイスクリームの売り上げデータ!E180</f>
        <v>22.8</v>
      </c>
      <c r="G180">
        <f>アイスクリームの売り上げデータ!F180</f>
        <v>2</v>
      </c>
      <c r="H180">
        <f>アイスクリームの売り上げデータ!G180</f>
        <v>169</v>
      </c>
      <c r="I180">
        <f>重回帰の係数!$B$18*重回帰分析!C180+重回帰の係数!$B$19*重回帰分析!D180+重回帰の係数!$B$20*重回帰分析!E180+重回帰の係数!$B$21*重回帰分析!F180+重回帰の係数!$B$22*重回帰分析!G180+重回帰の係数!$B$17</f>
        <v>177.34323908069032</v>
      </c>
      <c r="J180">
        <f t="shared" si="2"/>
        <v>8.3432390806903243</v>
      </c>
    </row>
    <row r="181" spans="2:10">
      <c r="B181" s="7">
        <v>43644</v>
      </c>
      <c r="C181">
        <f>IF(OR(アイスクリームの売り上げデータ!B181=1,アイスクリームの売り上げデータ!B181=7),1,0)</f>
        <v>0</v>
      </c>
      <c r="D181">
        <f>アイスクリームの売り上げデータ!C181</f>
        <v>25.2</v>
      </c>
      <c r="E181">
        <f>アイスクリームの売り上げデータ!D181</f>
        <v>30.7</v>
      </c>
      <c r="F181">
        <f>アイスクリームの売り上げデータ!E181</f>
        <v>21.4</v>
      </c>
      <c r="G181">
        <f>アイスクリームの売り上げデータ!F181</f>
        <v>3.5</v>
      </c>
      <c r="H181">
        <f>アイスクリームの売り上げデータ!G181</f>
        <v>183</v>
      </c>
      <c r="I181">
        <f>重回帰の係数!$B$18*重回帰分析!C181+重回帰の係数!$B$19*重回帰分析!D181+重回帰の係数!$B$20*重回帰分析!E181+重回帰の係数!$B$21*重回帰分析!F181+重回帰の係数!$B$22*重回帰分析!G181+重回帰の係数!$B$17</f>
        <v>175.00243284856708</v>
      </c>
      <c r="J181">
        <f t="shared" si="2"/>
        <v>7.9975671514329179</v>
      </c>
    </row>
    <row r="182" spans="2:10">
      <c r="B182" s="7">
        <v>43645</v>
      </c>
      <c r="C182">
        <f>IF(OR(アイスクリームの売り上げデータ!B182=1,アイスクリームの売り上げデータ!B182=7),1,0)</f>
        <v>1</v>
      </c>
      <c r="D182">
        <f>アイスクリームの売り上げデータ!C182</f>
        <v>20.2</v>
      </c>
      <c r="E182">
        <f>アイスクリームの売り上げデータ!D182</f>
        <v>21.5</v>
      </c>
      <c r="F182">
        <f>アイスクリームの売り上げデータ!E182</f>
        <v>19</v>
      </c>
      <c r="G182">
        <f>アイスクリームの売り上げデータ!F182</f>
        <v>3</v>
      </c>
      <c r="H182">
        <f>アイスクリームの売り上げデータ!G182</f>
        <v>203</v>
      </c>
      <c r="I182">
        <f>重回帰の係数!$B$18*重回帰分析!C182+重回帰の係数!$B$19*重回帰分析!D182+重回帰の係数!$B$20*重回帰分析!E182+重回帰の係数!$B$21*重回帰分析!F182+重回帰の係数!$B$22*重回帰分析!G182+重回帰の係数!$B$17</f>
        <v>221.14877763252821</v>
      </c>
      <c r="J182">
        <f t="shared" si="2"/>
        <v>18.148777632528208</v>
      </c>
    </row>
    <row r="183" spans="2:10">
      <c r="B183" s="7">
        <v>43646</v>
      </c>
      <c r="C183">
        <f>IF(OR(アイスクリームの売り上げデータ!B183=1,アイスクリームの売り上げデータ!B183=7),1,0)</f>
        <v>1</v>
      </c>
      <c r="D183">
        <f>アイスクリームの売り上げデータ!C183</f>
        <v>21.6</v>
      </c>
      <c r="E183">
        <f>アイスクリームの売り上げデータ!D183</f>
        <v>23.6</v>
      </c>
      <c r="F183">
        <f>アイスクリームの売り上げデータ!E183</f>
        <v>20.3</v>
      </c>
      <c r="G183">
        <f>アイスクリームの売り上げデータ!F183</f>
        <v>5.5</v>
      </c>
      <c r="H183">
        <f>アイスクリームの売り上げデータ!G183</f>
        <v>240</v>
      </c>
      <c r="I183">
        <f>重回帰の係数!$B$18*重回帰分析!C183+重回帰の係数!$B$19*重回帰分析!D183+重回帰の係数!$B$20*重回帰分析!E183+重回帰の係数!$B$21*重回帰分析!F183+重回帰の係数!$B$22*重回帰分析!G183+重回帰の係数!$B$17</f>
        <v>223.76841037628378</v>
      </c>
      <c r="J183">
        <f t="shared" si="2"/>
        <v>16.231589623716218</v>
      </c>
    </row>
    <row r="184" spans="2:10">
      <c r="B184" s="7">
        <v>43647</v>
      </c>
      <c r="C184">
        <f>IF(OR(アイスクリームの売り上げデータ!B184=1,アイスクリームの売り上げデータ!B184=7),1,0)</f>
        <v>0</v>
      </c>
      <c r="D184">
        <f>アイスクリームの売り上げデータ!C184</f>
        <v>22.7</v>
      </c>
      <c r="E184">
        <f>アイスクリームの売り上げデータ!D184</f>
        <v>24.3</v>
      </c>
      <c r="F184">
        <f>アイスクリームの売り上げデータ!E184</f>
        <v>21</v>
      </c>
      <c r="G184">
        <f>アイスクリームの売り上げデータ!F184</f>
        <v>1.5</v>
      </c>
      <c r="H184">
        <f>アイスクリームの売り上げデータ!G184</f>
        <v>135</v>
      </c>
      <c r="I184">
        <f>重回帰の係数!$B$18*重回帰分析!C184+重回帰の係数!$B$19*重回帰分析!D184+重回帰の係数!$B$20*重回帰分析!E184+重回帰の係数!$B$21*重回帰分析!F184+重回帰の係数!$B$22*重回帰分析!G184+重回帰の係数!$B$17</f>
        <v>167.29277108194606</v>
      </c>
      <c r="J184">
        <f t="shared" si="2"/>
        <v>32.292771081946057</v>
      </c>
    </row>
    <row r="185" spans="2:10">
      <c r="B185" s="7">
        <v>43648</v>
      </c>
      <c r="C185">
        <f>IF(OR(アイスクリームの売り上げデータ!B185=1,アイスクリームの売り上げデータ!B185=7),1,0)</f>
        <v>0</v>
      </c>
      <c r="D185">
        <f>アイスクリームの売り上げデータ!C185</f>
        <v>23.8</v>
      </c>
      <c r="E185">
        <f>アイスクリームの売り上げデータ!D185</f>
        <v>28.1</v>
      </c>
      <c r="F185">
        <f>アイスクリームの売り上げデータ!E185</f>
        <v>21.5</v>
      </c>
      <c r="G185">
        <f>アイスクリームの売り上げデータ!F185</f>
        <v>0.5</v>
      </c>
      <c r="H185">
        <f>アイスクリームの売り上げデータ!G185</f>
        <v>185</v>
      </c>
      <c r="I185">
        <f>重回帰の係数!$B$18*重回帰分析!C185+重回帰の係数!$B$19*重回帰分析!D185+重回帰の係数!$B$20*重回帰分析!E185+重回帰の係数!$B$21*重回帰分析!F185+重回帰の係数!$B$22*重回帰分析!G185+重回帰の係数!$B$17</f>
        <v>173.74774532241204</v>
      </c>
      <c r="J185">
        <f t="shared" si="2"/>
        <v>11.252254677587956</v>
      </c>
    </row>
    <row r="186" spans="2:10">
      <c r="B186" s="7">
        <v>43649</v>
      </c>
      <c r="C186">
        <f>IF(OR(アイスクリームの売り上げデータ!B186=1,アイスクリームの売り上げデータ!B186=7),1,0)</f>
        <v>0</v>
      </c>
      <c r="D186">
        <f>アイスクリームの売り上げデータ!C186</f>
        <v>24.9</v>
      </c>
      <c r="E186">
        <f>アイスクリームの売り上げデータ!D186</f>
        <v>29.1</v>
      </c>
      <c r="F186">
        <f>アイスクリームの売り上げデータ!E186</f>
        <v>22.2</v>
      </c>
      <c r="G186">
        <f>アイスクリームの売り上げデータ!F186</f>
        <v>1</v>
      </c>
      <c r="H186">
        <f>アイスクリームの売り上げデータ!G186</f>
        <v>204</v>
      </c>
      <c r="I186">
        <f>重回帰の係数!$B$18*重回帰分析!C186+重回帰の係数!$B$19*重回帰分析!D186+重回帰の係数!$B$20*重回帰分析!E186+重回帰の係数!$B$21*重回帰分析!F186+重回帰の係数!$B$22*重回帰分析!G186+重回帰の係数!$B$17</f>
        <v>176.7695478795921</v>
      </c>
      <c r="J186">
        <f t="shared" si="2"/>
        <v>27.230452120407904</v>
      </c>
    </row>
    <row r="187" spans="2:10">
      <c r="B187" s="7">
        <v>43650</v>
      </c>
      <c r="C187">
        <f>IF(OR(アイスクリームの売り上げデータ!B187=1,アイスクリームの売り上げデータ!B187=7),1,0)</f>
        <v>0</v>
      </c>
      <c r="D187">
        <f>アイスクリームの売り上げデータ!C187</f>
        <v>22.7</v>
      </c>
      <c r="E187">
        <f>アイスクリームの売り上げデータ!D187</f>
        <v>25.2</v>
      </c>
      <c r="F187">
        <f>アイスクリームの売り上げデータ!E187</f>
        <v>19.899999999999999</v>
      </c>
      <c r="G187">
        <f>アイスクリームの売り上げデータ!F187</f>
        <v>10.5</v>
      </c>
      <c r="H187">
        <f>アイスクリームの売り上げデータ!G187</f>
        <v>167</v>
      </c>
      <c r="I187">
        <f>重回帰の係数!$B$18*重回帰分析!C187+重回帰の係数!$B$19*重回帰分析!D187+重回帰の係数!$B$20*重回帰分析!E187+重回帰の係数!$B$21*重回帰分析!F187+重回帰の係数!$B$22*重回帰分析!G187+重回帰の係数!$B$17</f>
        <v>156.7867076233178</v>
      </c>
      <c r="J187">
        <f t="shared" si="2"/>
        <v>10.213292376682205</v>
      </c>
    </row>
    <row r="188" spans="2:10">
      <c r="B188" s="7">
        <v>43651</v>
      </c>
      <c r="C188">
        <f>IF(OR(アイスクリームの売り上げデータ!B188=1,アイスクリームの売り上げデータ!B188=7),1,0)</f>
        <v>0</v>
      </c>
      <c r="D188">
        <f>アイスクリームの売り上げデータ!C188</f>
        <v>21.9</v>
      </c>
      <c r="E188">
        <f>アイスクリームの売り上げデータ!D188</f>
        <v>24.5</v>
      </c>
      <c r="F188">
        <f>アイスクリームの売り上げデータ!E188</f>
        <v>19</v>
      </c>
      <c r="G188">
        <f>アイスクリームの売り上げデータ!F188</f>
        <v>4.5</v>
      </c>
      <c r="H188">
        <f>アイスクリームの売り上げデータ!G188</f>
        <v>160</v>
      </c>
      <c r="I188">
        <f>重回帰の係数!$B$18*重回帰分析!C188+重回帰の係数!$B$19*重回帰分析!D188+重回帰の係数!$B$20*重回帰分析!E188+重回帰の係数!$B$21*重回帰分析!F188+重回帰の係数!$B$22*重回帰分析!G188+重回帰の係数!$B$17</f>
        <v>160.69251796056079</v>
      </c>
      <c r="J188">
        <f t="shared" si="2"/>
        <v>0.69251796056079229</v>
      </c>
    </row>
    <row r="189" spans="2:10">
      <c r="B189" s="7">
        <v>43652</v>
      </c>
      <c r="C189">
        <f>IF(OR(アイスクリームの売り上げデータ!B189=1,アイスクリームの売り上げデータ!B189=7),1,0)</f>
        <v>1</v>
      </c>
      <c r="D189">
        <f>アイスクリームの売り上げデータ!C189</f>
        <v>21</v>
      </c>
      <c r="E189">
        <f>アイスクリームの売り上げデータ!D189</f>
        <v>23.7</v>
      </c>
      <c r="F189">
        <f>アイスクリームの売り上げデータ!E189</f>
        <v>19.2</v>
      </c>
      <c r="G189">
        <f>アイスクリームの売り上げデータ!F189</f>
        <v>14.5</v>
      </c>
      <c r="H189">
        <f>アイスクリームの売り上げデータ!G189</f>
        <v>194</v>
      </c>
      <c r="I189">
        <f>重回帰の係数!$B$18*重回帰分析!C189+重回帰の係数!$B$19*重回帰分析!D189+重回帰の係数!$B$20*重回帰分析!E189+重回帰の係数!$B$21*重回帰分析!F189+重回帰の係数!$B$22*重回帰分析!G189+重回帰の係数!$B$17</f>
        <v>211.44185491725119</v>
      </c>
      <c r="J189">
        <f t="shared" si="2"/>
        <v>17.441854917251192</v>
      </c>
    </row>
    <row r="190" spans="2:10">
      <c r="B190" s="7">
        <v>43653</v>
      </c>
      <c r="C190">
        <f>IF(OR(アイスクリームの売り上げデータ!B190=1,アイスクリームの売り上げデータ!B190=7),1,0)</f>
        <v>1</v>
      </c>
      <c r="D190">
        <f>アイスクリームの売り上げデータ!C190</f>
        <v>19.2</v>
      </c>
      <c r="E190">
        <f>アイスクリームの売り上げデータ!D190</f>
        <v>20.8</v>
      </c>
      <c r="F190">
        <f>アイスクリームの売り上げデータ!E190</f>
        <v>17.899999999999999</v>
      </c>
      <c r="G190">
        <f>アイスクリームの売り上げデータ!F190</f>
        <v>22.5</v>
      </c>
      <c r="H190">
        <f>アイスクリームの売り上げデータ!G190</f>
        <v>214</v>
      </c>
      <c r="I190">
        <f>重回帰の係数!$B$18*重回帰分析!C190+重回帰の係数!$B$19*重回帰分析!D190+重回帰の係数!$B$20*重回帰分析!E190+重回帰の係数!$B$21*重回帰分析!F190+重回帰の係数!$B$22*重回帰分析!G190+重回帰の係数!$B$17</f>
        <v>195.50225003746209</v>
      </c>
      <c r="J190">
        <f t="shared" si="2"/>
        <v>18.49774996253791</v>
      </c>
    </row>
    <row r="191" spans="2:10">
      <c r="B191" s="7">
        <v>43654</v>
      </c>
      <c r="C191">
        <f>IF(OR(アイスクリームの売り上げデータ!B191=1,アイスクリームの売り上げデータ!B191=7),1,0)</f>
        <v>0</v>
      </c>
      <c r="D191">
        <f>アイスクリームの売り上げデータ!C191</f>
        <v>20.3</v>
      </c>
      <c r="E191">
        <f>アイスクリームの売り上げデータ!D191</f>
        <v>24.8</v>
      </c>
      <c r="F191">
        <f>アイスクリームの売り上げデータ!E191</f>
        <v>17.7</v>
      </c>
      <c r="G191">
        <f>アイスクリームの売り上げデータ!F191</f>
        <v>0</v>
      </c>
      <c r="H191">
        <f>アイスクリームの売り上げデータ!G191</f>
        <v>146</v>
      </c>
      <c r="I191">
        <f>重回帰の係数!$B$18*重回帰分析!C191+重回帰の係数!$B$19*重回帰分析!D191+重回帰の係数!$B$20*重回帰分析!E191+重回帰の係数!$B$21*重回帰分析!F191+重回帰の係数!$B$22*重回帰分析!G191+重回帰の係数!$B$17</f>
        <v>161.53918060245257</v>
      </c>
      <c r="J191">
        <f t="shared" si="2"/>
        <v>15.539180602452575</v>
      </c>
    </row>
    <row r="192" spans="2:10">
      <c r="B192" s="7">
        <v>43655</v>
      </c>
      <c r="C192">
        <f>IF(OR(アイスクリームの売り上げデータ!B192=1,アイスクリームの売り上げデータ!B192=7),1,0)</f>
        <v>0</v>
      </c>
      <c r="D192">
        <f>アイスクリームの売り上げデータ!C192</f>
        <v>19.7</v>
      </c>
      <c r="E192">
        <f>アイスクリームの売り上げデータ!D192</f>
        <v>21.8</v>
      </c>
      <c r="F192">
        <f>アイスクリームの売り上げデータ!E192</f>
        <v>18.5</v>
      </c>
      <c r="G192">
        <f>アイスクリームの売り上げデータ!F192</f>
        <v>0</v>
      </c>
      <c r="H192">
        <f>アイスクリームの売り上げデータ!G192</f>
        <v>165</v>
      </c>
      <c r="I192">
        <f>重回帰の係数!$B$18*重回帰分析!C192+重回帰の係数!$B$19*重回帰分析!D192+重回帰の係数!$B$20*重回帰分析!E192+重回帰の係数!$B$21*重回帰分析!F192+重回帰の係数!$B$22*重回帰分析!G192+重回帰の係数!$B$17</f>
        <v>158.88093349515322</v>
      </c>
      <c r="J192">
        <f t="shared" si="2"/>
        <v>6.1190665048467849</v>
      </c>
    </row>
    <row r="193" spans="2:10">
      <c r="B193" s="7">
        <v>43656</v>
      </c>
      <c r="C193">
        <f>IF(OR(アイスクリームの売り上げデータ!B193=1,アイスクリームの売り上げデータ!B193=7),1,0)</f>
        <v>0</v>
      </c>
      <c r="D193">
        <f>アイスクリームの売り上げデータ!C193</f>
        <v>21</v>
      </c>
      <c r="E193">
        <f>アイスクリームの売り上げデータ!D193</f>
        <v>24.8</v>
      </c>
      <c r="F193">
        <f>アイスクリームの売り上げデータ!E193</f>
        <v>18.5</v>
      </c>
      <c r="G193">
        <f>アイスクリームの売り上げデータ!F193</f>
        <v>0</v>
      </c>
      <c r="H193">
        <f>アイスクリームの売り上げデータ!G193</f>
        <v>197</v>
      </c>
      <c r="I193">
        <f>重回帰の係数!$B$18*重回帰分析!C193+重回帰の係数!$B$19*重回帰分析!D193+重回帰の係数!$B$20*重回帰分析!E193+重回帰の係数!$B$21*重回帰分析!F193+重回帰の係数!$B$22*重回帰分析!G193+重回帰の係数!$B$17</f>
        <v>163.68103388997224</v>
      </c>
      <c r="J193">
        <f t="shared" si="2"/>
        <v>33.318966110027759</v>
      </c>
    </row>
    <row r="194" spans="2:10">
      <c r="B194" s="7">
        <v>43657</v>
      </c>
      <c r="C194">
        <f>IF(OR(アイスクリームの売り上げデータ!B194=1,アイスクリームの売り上げデータ!B194=7),1,0)</f>
        <v>0</v>
      </c>
      <c r="D194">
        <f>アイスクリームの売り上げデータ!C194</f>
        <v>19.899999999999999</v>
      </c>
      <c r="E194">
        <f>アイスクリームの売り上げデータ!D194</f>
        <v>23.6</v>
      </c>
      <c r="F194">
        <f>アイスクリームの売り上げデータ!E194</f>
        <v>17.899999999999999</v>
      </c>
      <c r="G194">
        <f>アイスクリームの売り上げデータ!F194</f>
        <v>2</v>
      </c>
      <c r="H194">
        <f>アイスクリームの売り上げデータ!G194</f>
        <v>163</v>
      </c>
      <c r="I194">
        <f>重回帰の係数!$B$18*重回帰分析!C194+重回帰の係数!$B$19*重回帰分析!D194+重回帰の係数!$B$20*重回帰分析!E194+重回帰の係数!$B$21*重回帰分析!F194+重回帰の係数!$B$22*重回帰分析!G194+重回帰の係数!$B$17</f>
        <v>157.76561578537812</v>
      </c>
      <c r="J194">
        <f t="shared" si="2"/>
        <v>5.2343842146218833</v>
      </c>
    </row>
    <row r="195" spans="2:10">
      <c r="B195" s="7">
        <v>43658</v>
      </c>
      <c r="C195">
        <f>IF(OR(アイスクリームの売り上げデータ!B195=1,アイスクリームの売り上げデータ!B195=7),1,0)</f>
        <v>0</v>
      </c>
      <c r="D195">
        <f>アイスクリームの売り上げデータ!C195</f>
        <v>20.2</v>
      </c>
      <c r="E195">
        <f>アイスクリームの売り上げデータ!D195</f>
        <v>21.9</v>
      </c>
      <c r="F195">
        <f>アイスクリームの売り上げデータ!E195</f>
        <v>18.2</v>
      </c>
      <c r="G195">
        <f>アイスクリームの売り上げデータ!F195</f>
        <v>12.5</v>
      </c>
      <c r="H195">
        <f>アイスクリームの売り上げデータ!G195</f>
        <v>151</v>
      </c>
      <c r="I195">
        <f>重回帰の係数!$B$18*重回帰分析!C195+重回帰の係数!$B$19*重回帰分析!D195+重回帰の係数!$B$20*重回帰分析!E195+重回帰の係数!$B$21*重回帰分析!F195+重回帰の係数!$B$22*重回帰分析!G195+重回帰の係数!$B$17</f>
        <v>145.57420973692081</v>
      </c>
      <c r="J195">
        <f t="shared" si="2"/>
        <v>5.4257902630791932</v>
      </c>
    </row>
    <row r="196" spans="2:10">
      <c r="B196" s="7">
        <v>43659</v>
      </c>
      <c r="C196">
        <f>IF(OR(アイスクリームの売り上げデータ!B196=1,アイスクリームの売り上げデータ!B196=7),1,0)</f>
        <v>1</v>
      </c>
      <c r="D196">
        <f>アイスクリームの売り上げデータ!C196</f>
        <v>23.4</v>
      </c>
      <c r="E196">
        <f>アイスクリームの売り上げデータ!D196</f>
        <v>27.3</v>
      </c>
      <c r="F196">
        <f>アイスクリームの売り上げデータ!E196</f>
        <v>20</v>
      </c>
      <c r="G196">
        <f>アイスクリームの売り上げデータ!F196</f>
        <v>0.5</v>
      </c>
      <c r="H196">
        <f>アイスクリームの売り上げデータ!G196</f>
        <v>202</v>
      </c>
      <c r="I196">
        <f>重回帰の係数!$B$18*重回帰分析!C196+重回帰の係数!$B$19*重回帰分析!D196+重回帰の係数!$B$20*重回帰分析!E196+重回帰の係数!$B$21*重回帰分析!F196+重回帰の係数!$B$22*重回帰分析!G196+重回帰の係数!$B$17</f>
        <v>235.54405777875064</v>
      </c>
      <c r="J196">
        <f t="shared" ref="J196:J259" si="3">ABS(H196-I196)</f>
        <v>33.544057778750641</v>
      </c>
    </row>
    <row r="197" spans="2:10">
      <c r="B197" s="7">
        <v>43660</v>
      </c>
      <c r="C197">
        <f>IF(OR(アイスクリームの売り上げデータ!B197=1,アイスクリームの売り上げデータ!B197=7),1,0)</f>
        <v>1</v>
      </c>
      <c r="D197">
        <f>アイスクリームの売り上げデータ!C197</f>
        <v>21.3</v>
      </c>
      <c r="E197">
        <f>アイスクリームの売り上げデータ!D197</f>
        <v>22.5</v>
      </c>
      <c r="F197">
        <f>アイスクリームの売り上げデータ!E197</f>
        <v>20.2</v>
      </c>
      <c r="G197">
        <f>アイスクリームの売り上げデータ!F197</f>
        <v>39</v>
      </c>
      <c r="H197">
        <f>アイスクリームの売り上げデータ!G197</f>
        <v>225</v>
      </c>
      <c r="I197">
        <f>重回帰の係数!$B$18*重回帰分析!C197+重回帰の係数!$B$19*重回帰分析!D197+重回帰の係数!$B$20*重回帰分析!E197+重回帰の係数!$B$21*重回帰分析!F197+重回帰の係数!$B$22*重回帰分析!G197+重回帰の係数!$B$17</f>
        <v>184.2540793647178</v>
      </c>
      <c r="J197">
        <f t="shared" si="3"/>
        <v>40.745920635282204</v>
      </c>
    </row>
    <row r="198" spans="2:10">
      <c r="B198" s="7">
        <v>43661</v>
      </c>
      <c r="C198">
        <f>IF(OR(アイスクリームの売り上げデータ!B198=1,アイスクリームの売り上げデータ!B198=7),1,0)</f>
        <v>0</v>
      </c>
      <c r="D198">
        <f>アイスクリームの売り上げデータ!C198</f>
        <v>21.3</v>
      </c>
      <c r="E198">
        <f>アイスクリームの売り上げデータ!D198</f>
        <v>25</v>
      </c>
      <c r="F198">
        <f>アイスクリームの売り上げデータ!E198</f>
        <v>19.399999999999999</v>
      </c>
      <c r="G198">
        <f>アイスクリームの売り上げデータ!F198</f>
        <v>7</v>
      </c>
      <c r="H198">
        <f>アイスクリームの売り上げデータ!G198</f>
        <v>133</v>
      </c>
      <c r="I198">
        <f>重回帰の係数!$B$18*重回帰分析!C198+重回帰の係数!$B$19*重回帰分析!D198+重回帰の係数!$B$20*重回帰分析!E198+重回帰の係数!$B$21*重回帰分析!F198+重回帰の係数!$B$22*重回帰分析!G198+重回帰の係数!$B$17</f>
        <v>157.23491406285473</v>
      </c>
      <c r="J198">
        <f t="shared" si="3"/>
        <v>24.234914062854727</v>
      </c>
    </row>
    <row r="199" spans="2:10">
      <c r="B199" s="7">
        <v>43662</v>
      </c>
      <c r="C199">
        <f>IF(OR(アイスクリームの売り上げデータ!B199=1,アイスクリームの売り上げデータ!B199=7),1,0)</f>
        <v>0</v>
      </c>
      <c r="D199">
        <f>アイスクリームの売り上げデータ!C199</f>
        <v>20.5</v>
      </c>
      <c r="E199">
        <f>アイスクリームの売り上げデータ!D199</f>
        <v>22.1</v>
      </c>
      <c r="F199">
        <f>アイスクリームの売り上げデータ!E199</f>
        <v>19</v>
      </c>
      <c r="G199">
        <f>アイスクリームの売り上げデータ!F199</f>
        <v>33.5</v>
      </c>
      <c r="H199">
        <f>アイスクリームの売り上げデータ!G199</f>
        <v>138</v>
      </c>
      <c r="I199">
        <f>重回帰の係数!$B$18*重回帰分析!C199+重回帰の係数!$B$19*重回帰分析!D199+重回帰の係数!$B$20*重回帰分析!E199+重回帰の係数!$B$21*重回帰分析!F199+重回帰の係数!$B$22*重回帰分析!G199+重回帰の係数!$B$17</f>
        <v>123.14548114658596</v>
      </c>
      <c r="J199">
        <f t="shared" si="3"/>
        <v>14.854518853414035</v>
      </c>
    </row>
    <row r="200" spans="2:10">
      <c r="B200" s="7">
        <v>43663</v>
      </c>
      <c r="C200">
        <f>IF(OR(アイスクリームの売り上げデータ!B200=1,アイスクリームの売り上げデータ!B200=7),1,0)</f>
        <v>0</v>
      </c>
      <c r="D200">
        <f>アイスクリームの売り上げデータ!C200</f>
        <v>23.9</v>
      </c>
      <c r="E200">
        <f>アイスクリームの売り上げデータ!D200</f>
        <v>28.7</v>
      </c>
      <c r="F200">
        <f>アイスクリームの売り上げデータ!E200</f>
        <v>20.3</v>
      </c>
      <c r="G200">
        <f>アイスクリームの売り上げデータ!F200</f>
        <v>0.5</v>
      </c>
      <c r="H200">
        <f>アイスクリームの売り上げデータ!G200</f>
        <v>182</v>
      </c>
      <c r="I200">
        <f>重回帰の係数!$B$18*重回帰分析!C200+重回帰の係数!$B$19*重回帰分析!D200+重回帰の係数!$B$20*重回帰分析!E200+重回帰の係数!$B$21*重回帰分析!F200+重回帰の係数!$B$22*重回帰分析!G200+重回帰の係数!$B$17</f>
        <v>173.39372515426533</v>
      </c>
      <c r="J200">
        <f t="shared" si="3"/>
        <v>8.6062748457346743</v>
      </c>
    </row>
    <row r="201" spans="2:10">
      <c r="B201" s="7">
        <v>43664</v>
      </c>
      <c r="C201">
        <f>IF(OR(アイスクリームの売り上げデータ!B201=1,アイスクリームの売り上げデータ!B201=7),1,0)</f>
        <v>0</v>
      </c>
      <c r="D201">
        <f>アイスクリームの売り上げデータ!C201</f>
        <v>25.6</v>
      </c>
      <c r="E201">
        <f>アイスクリームの売り上げデータ!D201</f>
        <v>29.7</v>
      </c>
      <c r="F201">
        <f>アイスクリームの売り上げデータ!E201</f>
        <v>22.2</v>
      </c>
      <c r="G201">
        <f>アイスクリームの売り上げデータ!F201</f>
        <v>9.5</v>
      </c>
      <c r="H201">
        <f>アイスクリームの売り上げデータ!G201</f>
        <v>165</v>
      </c>
      <c r="I201">
        <f>重回帰の係数!$B$18*重回帰分析!C201+重回帰の係数!$B$19*重回帰分析!D201+重回帰の係数!$B$20*重回帰分析!E201+重回帰の係数!$B$21*重回帰分析!F201+重回帰の係数!$B$22*重回帰分析!G201+重回帰の係数!$B$17</f>
        <v>169.01375764841555</v>
      </c>
      <c r="J201">
        <f t="shared" si="3"/>
        <v>4.0137576484155488</v>
      </c>
    </row>
    <row r="202" spans="2:10">
      <c r="B202" s="7">
        <v>43665</v>
      </c>
      <c r="C202">
        <f>IF(OR(アイスクリームの売り上げデータ!B202=1,アイスクリームの売り上げデータ!B202=7),1,0)</f>
        <v>0</v>
      </c>
      <c r="D202">
        <f>アイスクリームの売り上げデータ!C202</f>
        <v>26.7</v>
      </c>
      <c r="E202">
        <f>アイスクリームの売り上げデータ!D202</f>
        <v>31.4</v>
      </c>
      <c r="F202">
        <f>アイスクリームの売り上げデータ!E202</f>
        <v>23</v>
      </c>
      <c r="G202">
        <f>アイスクリームの売り上げデータ!F202</f>
        <v>3.5</v>
      </c>
      <c r="H202">
        <f>アイスクリームの売り上げデータ!G202</f>
        <v>167</v>
      </c>
      <c r="I202">
        <f>重回帰の係数!$B$18*重回帰分析!C202+重回帰の係数!$B$19*重回帰分析!D202+重回帰の係数!$B$20*重回帰分析!E202+重回帰の係数!$B$21*重回帰分析!F202+重回帰の係数!$B$22*重回帰分析!G202+重回帰の係数!$B$17</f>
        <v>179.97236838938511</v>
      </c>
      <c r="J202">
        <f t="shared" si="3"/>
        <v>12.97236838938511</v>
      </c>
    </row>
    <row r="203" spans="2:10">
      <c r="B203" s="7">
        <v>43666</v>
      </c>
      <c r="C203">
        <f>IF(OR(アイスクリームの売り上げデータ!B203=1,アイスクリームの売り上げデータ!B203=7),1,0)</f>
        <v>1</v>
      </c>
      <c r="D203">
        <f>アイスクリームの売り上げデータ!C203</f>
        <v>26.5</v>
      </c>
      <c r="E203">
        <f>アイスクリームの売り上げデータ!D203</f>
        <v>29.5</v>
      </c>
      <c r="F203">
        <f>アイスクリームの売り上げデータ!E203</f>
        <v>24.4</v>
      </c>
      <c r="G203">
        <f>アイスクリームの売り上げデータ!F203</f>
        <v>0</v>
      </c>
      <c r="H203">
        <f>アイスクリームの売り上げデータ!G203</f>
        <v>230</v>
      </c>
      <c r="I203">
        <f>重回帰の係数!$B$18*重回帰分析!C203+重回帰の係数!$B$19*重回帰分析!D203+重回帰の係数!$B$20*重回帰分析!E203+重回帰の係数!$B$21*重回帰分析!F203+重回帰の係数!$B$22*重回帰分析!G203+重回帰の係数!$B$17</f>
        <v>247.77831949393476</v>
      </c>
      <c r="J203">
        <f t="shared" si="3"/>
        <v>17.77831949393476</v>
      </c>
    </row>
    <row r="204" spans="2:10">
      <c r="B204" s="7">
        <v>43667</v>
      </c>
      <c r="C204">
        <f>IF(OR(アイスクリームの売り上げデータ!B204=1,アイスクリームの売り上げデータ!B204=7),1,0)</f>
        <v>1</v>
      </c>
      <c r="D204">
        <f>アイスクリームの売り上げデータ!C204</f>
        <v>25</v>
      </c>
      <c r="E204">
        <f>アイスクリームの売り上げデータ!D204</f>
        <v>28.2</v>
      </c>
      <c r="F204">
        <f>アイスクリームの売り上げデータ!E204</f>
        <v>22.7</v>
      </c>
      <c r="G204">
        <f>アイスクリームの売り上げデータ!F204</f>
        <v>0</v>
      </c>
      <c r="H204">
        <f>アイスクリームの売り上げデータ!G204</f>
        <v>250</v>
      </c>
      <c r="I204">
        <f>重回帰の係数!$B$18*重回帰分析!C204+重回帰の係数!$B$19*重回帰分析!D204+重回帰の係数!$B$20*重回帰分析!E204+重回帰の係数!$B$21*重回帰分析!F204+重回帰の係数!$B$22*重回帰分析!G204+重回帰の係数!$B$17</f>
        <v>242.32199405618906</v>
      </c>
      <c r="J204">
        <f t="shared" si="3"/>
        <v>7.6780059438109447</v>
      </c>
    </row>
    <row r="205" spans="2:10">
      <c r="B205" s="7">
        <v>43668</v>
      </c>
      <c r="C205">
        <f>IF(OR(アイスクリームの売り上げデータ!B205=1,アイスクリームの売り上げデータ!B205=7),1,0)</f>
        <v>0</v>
      </c>
      <c r="D205">
        <f>アイスクリームの売り上げデータ!C205</f>
        <v>22.7</v>
      </c>
      <c r="E205">
        <f>アイスクリームの売り上げデータ!D205</f>
        <v>24</v>
      </c>
      <c r="F205">
        <f>アイスクリームの売り上げデータ!E205</f>
        <v>21.6</v>
      </c>
      <c r="G205">
        <f>アイスクリームの売り上げデータ!F205</f>
        <v>0.5</v>
      </c>
      <c r="H205">
        <f>アイスクリームの売り上げデータ!G205</f>
        <v>148</v>
      </c>
      <c r="I205">
        <f>重回帰の係数!$B$18*重回帰分析!C205+重回帰の係数!$B$19*重回帰分析!D205+重回帰の係数!$B$20*重回帰分析!E205+重回帰の係数!$B$21*重回帰分析!F205+重回帰の係数!$B$22*重回帰分析!G205+重回帰の係数!$B$17</f>
        <v>168.71227700248087</v>
      </c>
      <c r="J205">
        <f t="shared" si="3"/>
        <v>20.712277002480874</v>
      </c>
    </row>
    <row r="206" spans="2:10">
      <c r="B206" s="7">
        <v>43669</v>
      </c>
      <c r="C206">
        <f>IF(OR(アイスクリームの売り上げデータ!B206=1,アイスクリームの売り上げデータ!B206=7),1,0)</f>
        <v>0</v>
      </c>
      <c r="D206">
        <f>アイスクリームの売り上げデータ!C206</f>
        <v>24.5</v>
      </c>
      <c r="E206">
        <f>アイスクリームの売り上げデータ!D206</f>
        <v>29.3</v>
      </c>
      <c r="F206">
        <f>アイスクリームの売り上げデータ!E206</f>
        <v>22.4</v>
      </c>
      <c r="G206">
        <f>アイスクリームの売り上げデータ!F206</f>
        <v>4</v>
      </c>
      <c r="H206">
        <f>アイスクリームの売り上げデータ!G206</f>
        <v>169</v>
      </c>
      <c r="I206">
        <f>重回帰の係数!$B$18*重回帰分析!C206+重回帰の係数!$B$19*重回帰分析!D206+重回帰の係数!$B$20*重回帰分析!E206+重回帰の係数!$B$21*重回帰分析!F206+重回帰の係数!$B$22*重回帰分析!G206+重回帰の係数!$B$17</f>
        <v>172.80593285129297</v>
      </c>
      <c r="J206">
        <f t="shared" si="3"/>
        <v>3.8059328512929653</v>
      </c>
    </row>
    <row r="207" spans="2:10">
      <c r="B207" s="7">
        <v>43670</v>
      </c>
      <c r="C207">
        <f>IF(OR(アイスクリームの売り上げデータ!B207=1,アイスクリームの売り上げデータ!B207=7),1,0)</f>
        <v>0</v>
      </c>
      <c r="D207">
        <f>アイスクリームの売り上げデータ!C207</f>
        <v>26.8</v>
      </c>
      <c r="E207">
        <f>アイスクリームの売り上げデータ!D207</f>
        <v>31.6</v>
      </c>
      <c r="F207">
        <f>アイスクリームの売り上げデータ!E207</f>
        <v>23.7</v>
      </c>
      <c r="G207">
        <f>アイスクリームの売り上げデータ!F207</f>
        <v>6</v>
      </c>
      <c r="H207">
        <f>アイスクリームの売り上げデータ!G207</f>
        <v>198</v>
      </c>
      <c r="I207">
        <f>重回帰の係数!$B$18*重回帰分析!C207+重回帰の係数!$B$19*重回帰分析!D207+重回帰の係数!$B$20*重回帰分析!E207+重回帰の係数!$B$21*重回帰分析!F207+重回帰の係数!$B$22*重回帰分析!G207+重回帰の係数!$B$17</f>
        <v>178.04866266059668</v>
      </c>
      <c r="J207">
        <f t="shared" si="3"/>
        <v>19.951337339403324</v>
      </c>
    </row>
    <row r="208" spans="2:10">
      <c r="B208" s="7">
        <v>43671</v>
      </c>
      <c r="C208">
        <f>IF(OR(アイスクリームの売り上げデータ!B208=1,アイスクリームの売り上げデータ!B208=7),1,0)</f>
        <v>0</v>
      </c>
      <c r="D208">
        <f>アイスクリームの売り上げデータ!C208</f>
        <v>28</v>
      </c>
      <c r="E208">
        <f>アイスクリームの売り上げデータ!D208</f>
        <v>32.4</v>
      </c>
      <c r="F208">
        <f>アイスクリームの売り上げデータ!E208</f>
        <v>24.4</v>
      </c>
      <c r="G208">
        <f>アイスクリームの売り上げデータ!F208</f>
        <v>0</v>
      </c>
      <c r="H208">
        <f>アイスクリームの売り上げデータ!G208</f>
        <v>192</v>
      </c>
      <c r="I208">
        <f>重回帰の係数!$B$18*重回帰分析!C208+重回帰の係数!$B$19*重回帰分析!D208+重回帰の係数!$B$20*重回帰分析!E208+重回帰の係数!$B$21*重回帰分析!F208+重回帰の係数!$B$22*重回帰分析!G208+重回帰の係数!$B$17</f>
        <v>188.53155900151489</v>
      </c>
      <c r="J208">
        <f t="shared" si="3"/>
        <v>3.4684409984851072</v>
      </c>
    </row>
    <row r="209" spans="2:10">
      <c r="B209" s="7">
        <v>43672</v>
      </c>
      <c r="C209">
        <f>IF(OR(アイスクリームの売り上げデータ!B209=1,アイスクリームの売り上げデータ!B209=7),1,0)</f>
        <v>0</v>
      </c>
      <c r="D209">
        <f>アイスクリームの売り上げデータ!C209</f>
        <v>28.5</v>
      </c>
      <c r="E209">
        <f>アイスクリームの売り上げデータ!D209</f>
        <v>33.1</v>
      </c>
      <c r="F209">
        <f>アイスクリームの売り上げデータ!E209</f>
        <v>25.6</v>
      </c>
      <c r="G209">
        <f>アイスクリームの売り上げデータ!F209</f>
        <v>0.5</v>
      </c>
      <c r="H209">
        <f>アイスクリームの売り上げデータ!G209</f>
        <v>184</v>
      </c>
      <c r="I209">
        <f>重回帰の係数!$B$18*重回帰分析!C209+重回帰の係数!$B$19*重回帰分析!D209+重回帰の係数!$B$20*重回帰分析!E209+重回帰の係数!$B$21*重回帰分析!F209+重回帰の係数!$B$22*重回帰分析!G209+重回帰の係数!$B$17</f>
        <v>190.47593537067314</v>
      </c>
      <c r="J209">
        <f t="shared" si="3"/>
        <v>6.4759353706731417</v>
      </c>
    </row>
    <row r="210" spans="2:10">
      <c r="B210" s="7">
        <v>43673</v>
      </c>
      <c r="C210">
        <f>IF(OR(アイスクリームの売り上げデータ!B210=1,アイスクリームの売り上げデータ!B210=7),1,0)</f>
        <v>1</v>
      </c>
      <c r="D210">
        <f>アイスクリームの売り上げデータ!C210</f>
        <v>28</v>
      </c>
      <c r="E210">
        <f>アイスクリームの売り上げデータ!D210</f>
        <v>31.4</v>
      </c>
      <c r="F210">
        <f>アイスクリームの売り上げデータ!E210</f>
        <v>25.1</v>
      </c>
      <c r="G210">
        <f>アイスクリームの売り上げデータ!F210</f>
        <v>4</v>
      </c>
      <c r="H210">
        <f>アイスクリームの売り上げデータ!G210</f>
        <v>230</v>
      </c>
      <c r="I210">
        <f>重回帰の係数!$B$18*重回帰分析!C210+重回帰の係数!$B$19*重回帰分析!D210+重回帰の係数!$B$20*重回帰分析!E210+重回帰の係数!$B$21*重回帰分析!F210+重回帰の係数!$B$22*重回帰分析!G210+重回帰の係数!$B$17</f>
        <v>248.28609858640743</v>
      </c>
      <c r="J210">
        <f t="shared" si="3"/>
        <v>18.286098586407434</v>
      </c>
    </row>
    <row r="211" spans="2:10">
      <c r="B211" s="7">
        <v>43674</v>
      </c>
      <c r="C211">
        <f>IF(OR(アイスクリームの売り上げデータ!B211=1,アイスクリームの売り上げデータ!B211=7),1,0)</f>
        <v>1</v>
      </c>
      <c r="D211">
        <f>アイスクリームの売り上げデータ!C211</f>
        <v>27.7</v>
      </c>
      <c r="E211">
        <f>アイスクリームの売り上げデータ!D211</f>
        <v>32.299999999999997</v>
      </c>
      <c r="F211">
        <f>アイスクリームの売り上げデータ!E211</f>
        <v>25</v>
      </c>
      <c r="G211">
        <f>アイスクリームの売り上げデータ!F211</f>
        <v>15</v>
      </c>
      <c r="H211">
        <f>アイスクリームの売り上げデータ!G211</f>
        <v>267</v>
      </c>
      <c r="I211">
        <f>重回帰の係数!$B$18*重回帰分析!C211+重回帰の係数!$B$19*重回帰分析!D211+重回帰の係数!$B$20*重回帰分析!E211+重回帰の係数!$B$21*重回帰分析!F211+重回帰の係数!$B$22*重回帰分析!G211+重回帰の係数!$B$17</f>
        <v>235.67893853562475</v>
      </c>
      <c r="J211">
        <f t="shared" si="3"/>
        <v>31.321061464375248</v>
      </c>
    </row>
    <row r="212" spans="2:10">
      <c r="B212" s="7">
        <v>43675</v>
      </c>
      <c r="C212">
        <f>IF(OR(アイスクリームの売り上げデータ!B212=1,アイスクリームの売り上げデータ!B212=7),1,0)</f>
        <v>0</v>
      </c>
      <c r="D212">
        <f>アイスクリームの売り上げデータ!C212</f>
        <v>29</v>
      </c>
      <c r="E212">
        <f>アイスクリームの売り上げデータ!D212</f>
        <v>33.700000000000003</v>
      </c>
      <c r="F212">
        <f>アイスクリームの売り上げデータ!E212</f>
        <v>25.3</v>
      </c>
      <c r="G212">
        <f>アイスクリームの売り上げデータ!F212</f>
        <v>0</v>
      </c>
      <c r="H212">
        <f>アイスクリームの売り上げデータ!G212</f>
        <v>173</v>
      </c>
      <c r="I212">
        <f>重回帰の係数!$B$18*重回帰分析!C212+重回帰の係数!$B$19*重回帰分析!D212+重回帰の係数!$B$20*重回帰分析!E212+重回帰の係数!$B$21*重回帰分析!F212+重回帰の係数!$B$22*重回帰分析!G212+重回帰の係数!$B$17</f>
        <v>192.27271422683509</v>
      </c>
      <c r="J212">
        <f t="shared" si="3"/>
        <v>19.272714226835092</v>
      </c>
    </row>
    <row r="213" spans="2:10">
      <c r="B213" s="7">
        <v>43676</v>
      </c>
      <c r="C213">
        <f>IF(OR(アイスクリームの売り上げデータ!B213=1,アイスクリームの売り上げデータ!B213=7),1,0)</f>
        <v>0</v>
      </c>
      <c r="D213">
        <f>アイスクリームの売り上げデータ!C213</f>
        <v>29.5</v>
      </c>
      <c r="E213">
        <f>アイスクリームの売り上げデータ!D213</f>
        <v>33.6</v>
      </c>
      <c r="F213">
        <f>アイスクリームの売り上げデータ!E213</f>
        <v>26</v>
      </c>
      <c r="G213">
        <f>アイスクリームの売り上げデータ!F213</f>
        <v>0</v>
      </c>
      <c r="H213">
        <f>アイスクリームの売り上げデータ!G213</f>
        <v>190</v>
      </c>
      <c r="I213">
        <f>重回帰の係数!$B$18*重回帰分析!C213+重回帰の係数!$B$19*重回帰分析!D213+重回帰の係数!$B$20*重回帰分析!E213+重回帰の係数!$B$21*重回帰分析!F213+重回帰の係数!$B$22*重回帰分析!G213+重回帰の係数!$B$17</f>
        <v>193.83927127678407</v>
      </c>
      <c r="J213">
        <f t="shared" si="3"/>
        <v>3.8392712767840749</v>
      </c>
    </row>
    <row r="214" spans="2:10">
      <c r="B214" s="7">
        <v>43677</v>
      </c>
      <c r="C214">
        <f>IF(OR(アイスクリームの売り上げデータ!B214=1,アイスクリームの売り上げデータ!B214=7),1,0)</f>
        <v>0</v>
      </c>
      <c r="D214">
        <f>アイスクリームの売り上げデータ!C214</f>
        <v>30</v>
      </c>
      <c r="E214">
        <f>アイスクリームの売り上げデータ!D214</f>
        <v>34.6</v>
      </c>
      <c r="F214">
        <f>アイスクリームの売り上げデータ!E214</f>
        <v>26.5</v>
      </c>
      <c r="G214">
        <f>アイスクリームの売り上げデータ!F214</f>
        <v>0</v>
      </c>
      <c r="H214">
        <f>アイスクリームの売り上げデータ!G214</f>
        <v>215</v>
      </c>
      <c r="I214">
        <f>重回帰の係数!$B$18*重回帰分析!C214+重回帰の係数!$B$19*重回帰分析!D214+重回帰の係数!$B$20*重回帰分析!E214+重回帰の係数!$B$21*重回帰分析!F214+重回帰の係数!$B$22*重回帰分析!G214+重回帰の係数!$B$17</f>
        <v>195.98682151135313</v>
      </c>
      <c r="J214">
        <f t="shared" si="3"/>
        <v>19.013178488646872</v>
      </c>
    </row>
    <row r="215" spans="2:10">
      <c r="B215" s="7">
        <v>43678</v>
      </c>
      <c r="C215">
        <f>IF(OR(アイスクリームの売り上げデータ!B215=1,アイスクリームの売り上げデータ!B215=7),1,0)</f>
        <v>0</v>
      </c>
      <c r="D215">
        <f>アイスクリームの売り上げデータ!C215</f>
        <v>30.5</v>
      </c>
      <c r="E215">
        <f>アイスクリームの売り上げデータ!D215</f>
        <v>35</v>
      </c>
      <c r="F215">
        <f>アイスクリームの売り上げデータ!E215</f>
        <v>26.3</v>
      </c>
      <c r="G215">
        <f>アイスクリームの売り上げデータ!F215</f>
        <v>0</v>
      </c>
      <c r="H215">
        <f>アイスクリームの売り上げデータ!G215</f>
        <v>203</v>
      </c>
      <c r="I215">
        <f>重回帰の係数!$B$18*重回帰分析!C215+重回帰の係数!$B$19*重回帰分析!D215+重回帰の係数!$B$20*重回帰分析!E215+重回帰の係数!$B$21*重回帰分析!F215+重回帰の係数!$B$22*重回帰分析!G215+重回帰の係数!$B$17</f>
        <v>197.1616349554769</v>
      </c>
      <c r="J215">
        <f t="shared" si="3"/>
        <v>5.8383650445231012</v>
      </c>
    </row>
    <row r="216" spans="2:10">
      <c r="B216" s="7">
        <v>43679</v>
      </c>
      <c r="C216">
        <f>IF(OR(アイスクリームの売り上げデータ!B216=1,アイスクリームの売り上げデータ!B216=7),1,0)</f>
        <v>0</v>
      </c>
      <c r="D216">
        <f>アイスクリームの売り上げデータ!C216</f>
        <v>30.2</v>
      </c>
      <c r="E216">
        <f>アイスクリームの売り上げデータ!D216</f>
        <v>35.1</v>
      </c>
      <c r="F216">
        <f>アイスクリームの売り上げデータ!E216</f>
        <v>27.1</v>
      </c>
      <c r="G216">
        <f>アイスクリームの売り上げデータ!F216</f>
        <v>0</v>
      </c>
      <c r="H216">
        <f>アイスクリームの売り上げデータ!G216</f>
        <v>189</v>
      </c>
      <c r="I216">
        <f>重回帰の係数!$B$18*重回帰分析!C216+重回帰の係数!$B$19*重回帰分析!D216+重回帰の係数!$B$20*重回帰分析!E216+重回帰の係数!$B$21*重回帰分析!F216+重回帰の係数!$B$22*重回帰分析!G216+重回帰の係数!$B$17</f>
        <v>197.23762821441602</v>
      </c>
      <c r="J216">
        <f t="shared" si="3"/>
        <v>8.23762821441602</v>
      </c>
    </row>
    <row r="217" spans="2:10">
      <c r="B217" s="7">
        <v>43680</v>
      </c>
      <c r="C217">
        <f>IF(OR(アイスクリームの売り上げデータ!B217=1,アイスクリームの売り上げデータ!B217=7),1,0)</f>
        <v>1</v>
      </c>
      <c r="D217">
        <f>アイスクリームの売り上げデータ!C217</f>
        <v>29.4</v>
      </c>
      <c r="E217">
        <f>アイスクリームの売り上げデータ!D217</f>
        <v>33.700000000000003</v>
      </c>
      <c r="F217">
        <f>アイスクリームの売り上げデータ!E217</f>
        <v>25.7</v>
      </c>
      <c r="G217">
        <f>アイスクリームの売り上げデータ!F217</f>
        <v>0</v>
      </c>
      <c r="H217">
        <f>アイスクリームの売り上げデータ!G217</f>
        <v>252</v>
      </c>
      <c r="I217">
        <f>重回帰の係数!$B$18*重回帰分析!C217+重回帰の係数!$B$19*重回帰分析!D217+重回帰の係数!$B$20*重回帰分析!E217+重回帰の係数!$B$21*重回帰分析!F217+重回帰の係数!$B$22*重回帰分析!G217+重回帰の係数!$B$17</f>
        <v>257.85630025481123</v>
      </c>
      <c r="J217">
        <f t="shared" si="3"/>
        <v>5.8563002548112308</v>
      </c>
    </row>
    <row r="218" spans="2:10">
      <c r="B218" s="7">
        <v>43681</v>
      </c>
      <c r="C218">
        <f>IF(OR(アイスクリームの売り上げデータ!B218=1,アイスクリームの売り上げデータ!B218=7),1,0)</f>
        <v>1</v>
      </c>
      <c r="D218">
        <f>アイスクリームの売り上げデータ!C218</f>
        <v>29.4</v>
      </c>
      <c r="E218">
        <f>アイスクリームの売り上げデータ!D218</f>
        <v>34.299999999999997</v>
      </c>
      <c r="F218">
        <f>アイスクリームの売り上げデータ!E218</f>
        <v>25.3</v>
      </c>
      <c r="G218">
        <f>アイスクリームの売り上げデータ!F218</f>
        <v>0</v>
      </c>
      <c r="H218">
        <f>アイスクリームの売り上げデータ!G218</f>
        <v>269</v>
      </c>
      <c r="I218">
        <f>重回帰の係数!$B$18*重回帰分析!C218+重回帰の係数!$B$19*重回帰分析!D218+重回帰の係数!$B$20*重回帰分析!E218+重回帰の係数!$B$21*重回帰分析!F218+重回帰の係数!$B$22*重回帰分析!G218+重回帰の係数!$B$17</f>
        <v>257.93740107380756</v>
      </c>
      <c r="J218">
        <f t="shared" si="3"/>
        <v>11.062598926192436</v>
      </c>
    </row>
    <row r="219" spans="2:10">
      <c r="B219" s="7">
        <v>43682</v>
      </c>
      <c r="C219">
        <f>IF(OR(アイスクリームの売り上げデータ!B219=1,アイスクリームの売り上げデータ!B219=7),1,0)</f>
        <v>0</v>
      </c>
      <c r="D219">
        <f>アイスクリームの売り上げデータ!C219</f>
        <v>29.8</v>
      </c>
      <c r="E219">
        <f>アイスクリームの売り上げデータ!D219</f>
        <v>34.9</v>
      </c>
      <c r="F219">
        <f>アイスクリームの売り上げデータ!E219</f>
        <v>25.1</v>
      </c>
      <c r="G219">
        <f>アイスクリームの売り上げデータ!F219</f>
        <v>0</v>
      </c>
      <c r="H219">
        <f>アイスクリームの売り上げデータ!G219</f>
        <v>165</v>
      </c>
      <c r="I219">
        <f>重回帰の係数!$B$18*重回帰分析!C219+重回帰の係数!$B$19*重回帰分析!D219+重回帰の係数!$B$20*重回帰分析!E219+重回帰の係数!$B$21*重回帰分析!F219+重回帰の係数!$B$22*重回帰分析!G219+重回帰の係数!$B$17</f>
        <v>194.62799505872198</v>
      </c>
      <c r="J219">
        <f t="shared" si="3"/>
        <v>29.627995058721979</v>
      </c>
    </row>
    <row r="220" spans="2:10">
      <c r="B220" s="7">
        <v>43683</v>
      </c>
      <c r="C220">
        <f>IF(OR(アイスクリームの売り上げデータ!B220=1,アイスクリームの売り上げデータ!B220=7),1,0)</f>
        <v>0</v>
      </c>
      <c r="D220">
        <f>アイスクリームの売り上げデータ!C220</f>
        <v>30.3</v>
      </c>
      <c r="E220">
        <f>アイスクリームの売り上げデータ!D220</f>
        <v>35</v>
      </c>
      <c r="F220">
        <f>アイスクリームの売り上げデータ!E220</f>
        <v>27.5</v>
      </c>
      <c r="G220">
        <f>アイスクリームの売り上げデータ!F220</f>
        <v>0</v>
      </c>
      <c r="H220">
        <f>アイスクリームの売り上げデータ!G220</f>
        <v>190</v>
      </c>
      <c r="I220">
        <f>重回帰の係数!$B$18*重回帰分析!C220+重回帰の係数!$B$19*重回帰分析!D220+重回帰の係数!$B$20*重回帰分析!E220+重回帰の係数!$B$21*重回帰分析!F220+重回帰の係数!$B$22*重回帰分析!G220+重回帰の係数!$B$17</f>
        <v>197.70764566741792</v>
      </c>
      <c r="J220">
        <f t="shared" si="3"/>
        <v>7.7076456674179212</v>
      </c>
    </row>
    <row r="221" spans="2:10">
      <c r="B221" s="7">
        <v>43684</v>
      </c>
      <c r="C221">
        <f>IF(OR(アイスクリームの売り上げデータ!B221=1,アイスクリームの売り上げデータ!B221=7),1,0)</f>
        <v>0</v>
      </c>
      <c r="D221">
        <f>アイスクリームの売り上げデータ!C221</f>
        <v>30.4</v>
      </c>
      <c r="E221">
        <f>アイスクリームの売り上げデータ!D221</f>
        <v>35.6</v>
      </c>
      <c r="F221">
        <f>アイスクリームの売り上げデータ!E221</f>
        <v>26.7</v>
      </c>
      <c r="G221">
        <f>アイスクリームの売り上げデータ!F221</f>
        <v>0</v>
      </c>
      <c r="H221">
        <f>アイスクリームの売り上げデータ!G221</f>
        <v>223</v>
      </c>
      <c r="I221">
        <f>重回帰の係数!$B$18*重回帰分析!C221+重回帰の係数!$B$19*重回帰分析!D221+重回帰の係数!$B$20*重回帰分析!E221+重回帰の係数!$B$21*重回帰分析!F221+重回帰の係数!$B$22*重回帰分析!G221+重回帰の係数!$B$17</f>
        <v>197.67785676161628</v>
      </c>
      <c r="J221">
        <f t="shared" si="3"/>
        <v>25.322143238383717</v>
      </c>
    </row>
    <row r="222" spans="2:10">
      <c r="B222" s="7">
        <v>43685</v>
      </c>
      <c r="C222">
        <f>IF(OR(アイスクリームの売り上げデータ!B222=1,アイスクリームの売り上げデータ!B222=7),1,0)</f>
        <v>0</v>
      </c>
      <c r="D222">
        <f>アイスクリームの売り上げデータ!C222</f>
        <v>29.9</v>
      </c>
      <c r="E222">
        <f>アイスクリームの売り上げデータ!D222</f>
        <v>35.5</v>
      </c>
      <c r="F222">
        <f>アイスクリームの売り上げデータ!E222</f>
        <v>26</v>
      </c>
      <c r="G222">
        <f>アイスクリームの売り上げデータ!F222</f>
        <v>0</v>
      </c>
      <c r="H222">
        <f>アイスクリームの売り上げデータ!G222</f>
        <v>186</v>
      </c>
      <c r="I222">
        <f>重回帰の係数!$B$18*重回帰分析!C222+重回帰の係数!$B$19*重回帰分析!D222+重回帰の係数!$B$20*重回帰分析!E222+重回帰の係数!$B$21*重回帰分析!F222+重回帰の係数!$B$22*重回帰分析!G222+重回帰の係数!$B$17</f>
        <v>195.97618901788684</v>
      </c>
      <c r="J222">
        <f t="shared" si="3"/>
        <v>9.9761890178868384</v>
      </c>
    </row>
    <row r="223" spans="2:10">
      <c r="B223" s="7">
        <v>43686</v>
      </c>
      <c r="C223">
        <f>IF(OR(アイスクリームの売り上げデータ!B223=1,アイスクリームの売り上げデータ!B223=7),1,0)</f>
        <v>0</v>
      </c>
      <c r="D223">
        <f>アイスクリームの売り上げデータ!C223</f>
        <v>30.1</v>
      </c>
      <c r="E223">
        <f>アイスクリームの売り上げデータ!D223</f>
        <v>35.6</v>
      </c>
      <c r="F223">
        <f>アイスクリームの売り上げデータ!E223</f>
        <v>26.2</v>
      </c>
      <c r="G223">
        <f>アイスクリームの売り上げデータ!F223</f>
        <v>0</v>
      </c>
      <c r="H223">
        <f>アイスクリームの売り上げデータ!G223</f>
        <v>187</v>
      </c>
      <c r="I223">
        <f>重回帰の係数!$B$18*重回帰分析!C223+重回帰の係数!$B$19*重回帰分析!D223+重回帰の係数!$B$20*重回帰分析!E223+重回帰の係数!$B$21*重回帰分析!F223+重回帰の係数!$B$22*重回帰分析!G223+重回帰の係数!$B$17</f>
        <v>196.63254307104376</v>
      </c>
      <c r="J223">
        <f t="shared" si="3"/>
        <v>9.6325430710437558</v>
      </c>
    </row>
    <row r="224" spans="2:10">
      <c r="B224" s="7">
        <v>43687</v>
      </c>
      <c r="C224">
        <f>IF(OR(アイスクリームの売り上げデータ!B224=1,アイスクリームの売り上げデータ!B224=7),1,0)</f>
        <v>1</v>
      </c>
      <c r="D224">
        <f>アイスクリームの売り上げデータ!C224</f>
        <v>29.6</v>
      </c>
      <c r="E224">
        <f>アイスクリームの売り上げデータ!D224</f>
        <v>34.4</v>
      </c>
      <c r="F224">
        <f>アイスクリームの売り上げデータ!E224</f>
        <v>25.7</v>
      </c>
      <c r="G224">
        <f>アイスクリームの売り上げデータ!F224</f>
        <v>0</v>
      </c>
      <c r="H224">
        <f>アイスクリームの売り上げデータ!G224</f>
        <v>239</v>
      </c>
      <c r="I224">
        <f>重回帰の係数!$B$18*重回帰分析!C224+重回帰の係数!$B$19*重回帰分析!D224+重回帰の係数!$B$20*重回帰分析!E224+重回帰の係数!$B$21*重回帰分析!F224+重回帰の係数!$B$22*重回帰分析!G224+重回帰の係数!$B$17</f>
        <v>258.75587075813701</v>
      </c>
      <c r="J224">
        <f t="shared" si="3"/>
        <v>19.755870758137007</v>
      </c>
    </row>
    <row r="225" spans="2:10">
      <c r="B225" s="7">
        <v>43688</v>
      </c>
      <c r="C225">
        <f>IF(OR(アイスクリームの売り上げデータ!B225=1,アイスクリームの売り上げデータ!B225=7),1,0)</f>
        <v>1</v>
      </c>
      <c r="D225">
        <f>アイスクリームの売り上げデータ!C225</f>
        <v>29.4</v>
      </c>
      <c r="E225">
        <f>アイスクリームの売り上げデータ!D225</f>
        <v>35.6</v>
      </c>
      <c r="F225">
        <f>アイスクリームの売り上げデータ!E225</f>
        <v>25.3</v>
      </c>
      <c r="G225">
        <f>アイスクリームの売り上げデータ!F225</f>
        <v>0</v>
      </c>
      <c r="H225">
        <f>アイスクリームの売り上げデータ!G225</f>
        <v>276</v>
      </c>
      <c r="I225">
        <f>重回帰の係数!$B$18*重回帰分析!C225+重回帰の係数!$B$19*重回帰分析!D225+重回帰の係数!$B$20*重回帰分析!E225+重回帰の係数!$B$21*重回帰分析!F225+重回帰の係数!$B$22*重回帰分析!G225+重回帰の係数!$B$17</f>
        <v>258.81562058338062</v>
      </c>
      <c r="J225">
        <f t="shared" si="3"/>
        <v>17.184379416619379</v>
      </c>
    </row>
    <row r="226" spans="2:10">
      <c r="B226" s="7">
        <v>43689</v>
      </c>
      <c r="C226">
        <f>IF(OR(アイスクリームの売り上げデータ!B226=1,アイスクリームの売り上げデータ!B226=7),1,0)</f>
        <v>0</v>
      </c>
      <c r="D226">
        <f>アイスクリームの売り上げデータ!C226</f>
        <v>28.8</v>
      </c>
      <c r="E226">
        <f>アイスクリームの売り上げデータ!D226</f>
        <v>33.200000000000003</v>
      </c>
      <c r="F226">
        <f>アイスクリームの売り上げデータ!E226</f>
        <v>25.6</v>
      </c>
      <c r="G226">
        <f>アイスクリームの売り上げデータ!F226</f>
        <v>0.5</v>
      </c>
      <c r="H226">
        <f>アイスクリームの売り上げデータ!G226</f>
        <v>161</v>
      </c>
      <c r="I226">
        <f>重回帰の係数!$B$18*重回帰分析!C226+重回帰の係数!$B$19*重回帰分析!D226+重回帰の係数!$B$20*重回帰分析!E226+重回帰の係数!$B$21*重回帰分析!F226+重回帰の係数!$B$22*重回帰分析!G226+重回帰の係数!$B$17</f>
        <v>191.18351533020461</v>
      </c>
      <c r="J226">
        <f t="shared" si="3"/>
        <v>30.183515330204614</v>
      </c>
    </row>
    <row r="227" spans="2:10">
      <c r="B227" s="7">
        <v>43690</v>
      </c>
      <c r="C227">
        <f>IF(OR(アイスクリームの売り上げデータ!B227=1,アイスクリームの売り上げデータ!B227=7),1,0)</f>
        <v>0</v>
      </c>
      <c r="D227">
        <f>アイスクリームの売り上げデータ!C227</f>
        <v>29.3</v>
      </c>
      <c r="E227">
        <f>アイスクリームの売り上げデータ!D227</f>
        <v>35.5</v>
      </c>
      <c r="F227">
        <f>アイスクリームの売り上げデータ!E227</f>
        <v>26.9</v>
      </c>
      <c r="G227">
        <f>アイスクリームの売り上げデータ!F227</f>
        <v>0</v>
      </c>
      <c r="H227">
        <f>アイスクリームの売り上げデータ!G227</f>
        <v>184</v>
      </c>
      <c r="I227">
        <f>重回帰の係数!$B$18*重回帰分析!C227+重回帰の係数!$B$19*重回帰分析!D227+重回帰の係数!$B$20*重回帰分析!E227+重回帰の係数!$B$21*重回帰分析!F227+重回帰の係数!$B$22*重回帰分析!G227+重回帰の係数!$B$17</f>
        <v>195.42566013288075</v>
      </c>
      <c r="J227">
        <f t="shared" si="3"/>
        <v>11.425660132880751</v>
      </c>
    </row>
    <row r="228" spans="2:10">
      <c r="B228" s="7">
        <v>43691</v>
      </c>
      <c r="C228">
        <f>IF(OR(アイスクリームの売り上げデータ!B228=1,アイスクリームの売り上げデータ!B228=7),1,0)</f>
        <v>0</v>
      </c>
      <c r="D228">
        <f>アイスクリームの売り上げデータ!C228</f>
        <v>29.2</v>
      </c>
      <c r="E228">
        <f>アイスクリームの売り上げデータ!D228</f>
        <v>32.4</v>
      </c>
      <c r="F228">
        <f>アイスクリームの売り上げデータ!E228</f>
        <v>27.1</v>
      </c>
      <c r="G228">
        <f>アイスクリームの売り上げデータ!F228</f>
        <v>8.5</v>
      </c>
      <c r="H228">
        <f>アイスクリームの売り上げデータ!G228</f>
        <v>215</v>
      </c>
      <c r="I228">
        <f>重回帰の係数!$B$18*重回帰分析!C228+重回帰の係数!$B$19*重回帰分析!D228+重回帰の係数!$B$20*重回帰分析!E228+重回帰の係数!$B$21*重回帰分析!F228+重回帰の係数!$B$22*重回帰分析!G228+重回帰の係数!$B$17</f>
        <v>183.62570539756149</v>
      </c>
      <c r="J228">
        <f t="shared" si="3"/>
        <v>31.374294602438511</v>
      </c>
    </row>
    <row r="229" spans="2:10">
      <c r="B229" s="7">
        <v>43692</v>
      </c>
      <c r="C229">
        <f>IF(OR(アイスクリームの売り上げデータ!B229=1,アイスクリームの売り上げデータ!B229=7),1,0)</f>
        <v>0</v>
      </c>
      <c r="D229">
        <f>アイスクリームの売り上げデータ!C229</f>
        <v>29.2</v>
      </c>
      <c r="E229">
        <f>アイスクリームの売り上げデータ!D229</f>
        <v>32.6</v>
      </c>
      <c r="F229">
        <f>アイスクリームの売り上げデータ!E229</f>
        <v>25.9</v>
      </c>
      <c r="G229">
        <f>アイスクリームの売り上げデータ!F229</f>
        <v>20</v>
      </c>
      <c r="H229">
        <f>アイスクリームの売り上げデータ!G229</f>
        <v>166</v>
      </c>
      <c r="I229">
        <f>重回帰の係数!$B$18*重回帰分析!C229+重回帰の係数!$B$19*重回帰分析!D229+重回帰の係数!$B$20*重回帰分析!E229+重回帰の係数!$B$21*重回帰分析!F229+重回帰の係数!$B$22*重回帰分析!G229+重回帰の係数!$B$17</f>
        <v>169.72613402589548</v>
      </c>
      <c r="J229">
        <f t="shared" si="3"/>
        <v>3.726134025895476</v>
      </c>
    </row>
    <row r="230" spans="2:10">
      <c r="B230" s="7">
        <v>43693</v>
      </c>
      <c r="C230">
        <f>IF(OR(アイスクリームの売り上げデータ!B230=1,アイスクリームの売り上げデータ!B230=7),1,0)</f>
        <v>0</v>
      </c>
      <c r="D230">
        <f>アイスクリームの売り上げデータ!C230</f>
        <v>29</v>
      </c>
      <c r="E230">
        <f>アイスクリームの売り上げデータ!D230</f>
        <v>31.6</v>
      </c>
      <c r="F230">
        <f>アイスクリームの売り上げデータ!E230</f>
        <v>28</v>
      </c>
      <c r="G230">
        <f>アイスクリームの売り上げデータ!F230</f>
        <v>0</v>
      </c>
      <c r="H230">
        <f>アイスクリームの売り上げデータ!G230</f>
        <v>198</v>
      </c>
      <c r="I230">
        <f>重回帰の係数!$B$18*重回帰分析!C230+重回帰の係数!$B$19*重回帰分析!D230+重回帰の係数!$B$20*重回帰分析!E230+重回帰の係数!$B$21*重回帰分析!F230+重回帰の係数!$B$22*重回帰分析!G230+重回帰の係数!$B$17</f>
        <v>193.04261296296932</v>
      </c>
      <c r="J230">
        <f t="shared" si="3"/>
        <v>4.957387037030685</v>
      </c>
    </row>
    <row r="231" spans="2:10">
      <c r="B231" s="7">
        <v>43694</v>
      </c>
      <c r="C231">
        <f>IF(OR(アイスクリームの売り上げデータ!B231=1,アイスクリームの売り上げデータ!B231=7),1,0)</f>
        <v>1</v>
      </c>
      <c r="D231">
        <f>アイスクリームの売り上げデータ!C231</f>
        <v>30.3</v>
      </c>
      <c r="E231">
        <f>アイスクリームの売り上げデータ!D231</f>
        <v>35.5</v>
      </c>
      <c r="F231">
        <f>アイスクリームの売り上げデータ!E231</f>
        <v>27.3</v>
      </c>
      <c r="G231">
        <f>アイスクリームの売り上げデータ!F231</f>
        <v>0</v>
      </c>
      <c r="H231">
        <f>アイスクリームの売り上げデータ!G231</f>
        <v>242</v>
      </c>
      <c r="I231">
        <f>重回帰の係数!$B$18*重回帰分析!C231+重回帰の係数!$B$19*重回帰分析!D231+重回帰の係数!$B$20*重回帰分析!E231+重回帰の係数!$B$21*重回帰分析!F231+重回帰の係数!$B$22*重回帰分析!G231+重回帰の係数!$B$17</f>
        <v>262.28929538613937</v>
      </c>
      <c r="J231">
        <f t="shared" si="3"/>
        <v>20.289295386139372</v>
      </c>
    </row>
    <row r="232" spans="2:10">
      <c r="B232" s="7">
        <v>43695</v>
      </c>
      <c r="C232">
        <f>IF(OR(アイスクリームの売り上げデータ!B232=1,アイスクリームの売り上げデータ!B232=7),1,0)</f>
        <v>1</v>
      </c>
      <c r="D232">
        <f>アイスクリームの売り上げデータ!C232</f>
        <v>30.1</v>
      </c>
      <c r="E232">
        <f>アイスクリームの売り上げデータ!D232</f>
        <v>35.200000000000003</v>
      </c>
      <c r="F232">
        <f>アイスクリームの売り上げデータ!E232</f>
        <v>26.5</v>
      </c>
      <c r="G232">
        <f>アイスクリームの売り上げデータ!F232</f>
        <v>0</v>
      </c>
      <c r="H232">
        <f>アイスクリームの売り上げデータ!G232</f>
        <v>291</v>
      </c>
      <c r="I232">
        <f>重回帰の係数!$B$18*重回帰分析!C232+重回帰の係数!$B$19*重回帰分析!D232+重回帰の係数!$B$20*重回帰分析!E232+重回帰の係数!$B$21*重回帰分析!F232+重回帰の係数!$B$22*重回帰分析!G232+重回帰の係数!$B$17</f>
        <v>261.01148374568436</v>
      </c>
      <c r="J232">
        <f t="shared" si="3"/>
        <v>29.988516254315641</v>
      </c>
    </row>
    <row r="233" spans="2:10">
      <c r="B233" s="7">
        <v>43696</v>
      </c>
      <c r="C233">
        <f>IF(OR(アイスクリームの売り上げデータ!B233=1,アイスクリームの売り上げデータ!B233=7),1,0)</f>
        <v>0</v>
      </c>
      <c r="D233">
        <f>アイスクリームの売り上げデータ!C233</f>
        <v>28.1</v>
      </c>
      <c r="E233">
        <f>アイスクリームの売り上げデータ!D233</f>
        <v>32.200000000000003</v>
      </c>
      <c r="F233">
        <f>アイスクリームの売り上げデータ!E233</f>
        <v>25.7</v>
      </c>
      <c r="G233">
        <f>アイスクリームの売り上げデータ!F233</f>
        <v>0.5</v>
      </c>
      <c r="H233">
        <f>アイスクリームの売り上げデータ!G233</f>
        <v>168</v>
      </c>
      <c r="I233">
        <f>重回帰の係数!$B$18*重回帰分析!C233+重回帰の係数!$B$19*重回帰分析!D233+重回帰の係数!$B$20*重回帰分析!E233+重回帰の係数!$B$21*重回帰分析!F233+重回帰の係数!$B$22*重回帰分析!G233+重回帰の係数!$B$17</f>
        <v>189.09562891405898</v>
      </c>
      <c r="J233">
        <f t="shared" si="3"/>
        <v>21.095628914058977</v>
      </c>
    </row>
    <row r="234" spans="2:10">
      <c r="B234" s="7">
        <v>43697</v>
      </c>
      <c r="C234">
        <f>IF(OR(アイスクリームの売り上げデータ!B234=1,アイスクリームの売り上げデータ!B234=7),1,0)</f>
        <v>0</v>
      </c>
      <c r="D234">
        <f>アイスクリームの売り上げデータ!C234</f>
        <v>26.5</v>
      </c>
      <c r="E234">
        <f>アイスクリームの売り上げデータ!D234</f>
        <v>31.1</v>
      </c>
      <c r="F234">
        <f>アイスクリームの売り上げデータ!E234</f>
        <v>24.1</v>
      </c>
      <c r="G234">
        <f>アイスクリームの売り上げデータ!F234</f>
        <v>13</v>
      </c>
      <c r="H234">
        <f>アイスクリームの売り上げデータ!G234</f>
        <v>182</v>
      </c>
      <c r="I234">
        <f>重回帰の係数!$B$18*重回帰分析!C234+重回帰の係数!$B$19*重回帰分析!D234+重回帰の係数!$B$20*重回帰分析!E234+重回帰の係数!$B$21*重回帰分析!F234+重回帰の係数!$B$22*重回帰分析!G234+重回帰の係数!$B$17</f>
        <v>169.44431710203378</v>
      </c>
      <c r="J234">
        <f t="shared" si="3"/>
        <v>12.555682897966221</v>
      </c>
    </row>
    <row r="235" spans="2:10">
      <c r="B235" s="7">
        <v>43698</v>
      </c>
      <c r="C235">
        <f>IF(OR(アイスクリームの売り上げデータ!B235=1,アイスクリームの売り上げデータ!B235=7),1,0)</f>
        <v>0</v>
      </c>
      <c r="D235">
        <f>アイスクリームの売り上げデータ!C235</f>
        <v>27</v>
      </c>
      <c r="E235">
        <f>アイスクリームの売り上げデータ!D235</f>
        <v>31.4</v>
      </c>
      <c r="F235">
        <f>アイスクリームの売り上げデータ!E235</f>
        <v>23.6</v>
      </c>
      <c r="G235">
        <f>アイスクリームの売り上げデータ!F235</f>
        <v>3</v>
      </c>
      <c r="H235">
        <f>アイスクリームの売り上げデータ!G235</f>
        <v>210</v>
      </c>
      <c r="I235">
        <f>重回帰の係数!$B$18*重回帰分析!C235+重回帰の係数!$B$19*重回帰分析!D235+重回帰の係数!$B$20*重回帰分析!E235+重回帰の係数!$B$21*重回帰分析!F235+重回帰の係数!$B$22*重回帰分析!G235+重回帰の係数!$B$17</f>
        <v>181.66665242938788</v>
      </c>
      <c r="J235">
        <f t="shared" si="3"/>
        <v>28.333347570612119</v>
      </c>
    </row>
    <row r="236" spans="2:10">
      <c r="B236" s="7">
        <v>43699</v>
      </c>
      <c r="C236">
        <f>IF(OR(アイスクリームの売り上げデータ!B236=1,アイスクリームの売り上げデータ!B236=7),1,0)</f>
        <v>0</v>
      </c>
      <c r="D236">
        <f>アイスクリームの売り上げデータ!C236</f>
        <v>26</v>
      </c>
      <c r="E236">
        <f>アイスクリームの売り上げデータ!D236</f>
        <v>29.5</v>
      </c>
      <c r="F236">
        <f>アイスクリームの売り上げデータ!E236</f>
        <v>23.2</v>
      </c>
      <c r="G236">
        <f>アイスクリームの売り上げデータ!F236</f>
        <v>20</v>
      </c>
      <c r="H236">
        <f>アイスクリームの売り上げデータ!G236</f>
        <v>169</v>
      </c>
      <c r="I236">
        <f>重回帰の係数!$B$18*重回帰分析!C236+重回帰の係数!$B$19*重回帰分析!D236+重回帰の係数!$B$20*重回帰分析!E236+重回帰の係数!$B$21*重回帰分析!F236+重回帰の係数!$B$22*重回帰分析!G236+重回帰の係数!$B$17</f>
        <v>158.61642804996268</v>
      </c>
      <c r="J236">
        <f t="shared" si="3"/>
        <v>10.383571950037322</v>
      </c>
    </row>
    <row r="237" spans="2:10">
      <c r="B237" s="7">
        <v>43700</v>
      </c>
      <c r="C237">
        <f>IF(OR(アイスクリームの売り上げデータ!B237=1,アイスクリームの売り上げデータ!B237=7),1,0)</f>
        <v>0</v>
      </c>
      <c r="D237">
        <f>アイスクリームの売り上げデータ!C237</f>
        <v>26.3</v>
      </c>
      <c r="E237">
        <f>アイスクリームの売り上げデータ!D237</f>
        <v>28.5</v>
      </c>
      <c r="F237">
        <f>アイスクリームの売り上げデータ!E237</f>
        <v>24</v>
      </c>
      <c r="G237">
        <f>アイスクリームの売り上げデータ!F237</f>
        <v>4.5</v>
      </c>
      <c r="H237">
        <f>アイスクリームの売り上げデータ!G237</f>
        <v>176</v>
      </c>
      <c r="I237">
        <f>重回帰の係数!$B$18*重回帰分析!C237+重回帰の係数!$B$19*重回帰分析!D237+重回帰の係数!$B$20*重回帰分析!E237+重回帰の係数!$B$21*重回帰分析!F237+重回帰の係数!$B$22*重回帰分析!G237+重回帰の係数!$B$17</f>
        <v>176.83465026755471</v>
      </c>
      <c r="J237">
        <f t="shared" si="3"/>
        <v>0.83465026755470717</v>
      </c>
    </row>
    <row r="238" spans="2:10">
      <c r="B238" s="7">
        <v>43701</v>
      </c>
      <c r="C238">
        <f>IF(OR(アイスクリームの売り上げデータ!B238=1,アイスクリームの売り上げデータ!B238=7),1,0)</f>
        <v>1</v>
      </c>
      <c r="D238">
        <f>アイスクリームの売り上げデータ!C238</f>
        <v>27.3</v>
      </c>
      <c r="E238">
        <f>アイスクリームの売り上げデータ!D238</f>
        <v>31.4</v>
      </c>
      <c r="F238">
        <f>アイスクリームの売り上げデータ!E238</f>
        <v>24</v>
      </c>
      <c r="G238">
        <f>アイスクリームの売り上げデータ!F238</f>
        <v>0</v>
      </c>
      <c r="H238">
        <f>アイスクリームの売り上げデータ!G238</f>
        <v>236</v>
      </c>
      <c r="I238">
        <f>重回帰の係数!$B$18*重回帰分析!C238+重回帰の係数!$B$19*重回帰分析!D238+重回帰の係数!$B$20*重回帰分析!E238+重回帰の係数!$B$21*重回帰分析!F238+重回帰の係数!$B$22*重回帰分析!G238+重回帰の係数!$B$17</f>
        <v>250.44437212288074</v>
      </c>
      <c r="J238">
        <f t="shared" si="3"/>
        <v>14.444372122880736</v>
      </c>
    </row>
    <row r="239" spans="2:10">
      <c r="B239" s="7">
        <v>43702</v>
      </c>
      <c r="C239">
        <f>IF(OR(アイスクリームの売り上げデータ!B239=1,アイスクリームの売り上げデータ!B239=7),1,0)</f>
        <v>1</v>
      </c>
      <c r="D239">
        <f>アイスクリームの売り上げデータ!C239</f>
        <v>25.8</v>
      </c>
      <c r="E239">
        <f>アイスクリームの売り上げデータ!D239</f>
        <v>31.1</v>
      </c>
      <c r="F239">
        <f>アイスクリームの売り上げデータ!E239</f>
        <v>20.7</v>
      </c>
      <c r="G239">
        <f>アイスクリームの売り上げデータ!F239</f>
        <v>15</v>
      </c>
      <c r="H239">
        <f>アイスクリームの売り上げデータ!G239</f>
        <v>259</v>
      </c>
      <c r="I239">
        <f>重回帰の係数!$B$18*重回帰分析!C239+重回帰の係数!$B$19*重回帰分析!D239+重回帰の係数!$B$20*重回帰分析!E239+重回帰の係数!$B$21*重回帰分析!F239+重回帰の係数!$B$22*重回帰分析!G239+重回帰の係数!$B$17</f>
        <v>227.32929908933812</v>
      </c>
      <c r="J239">
        <f t="shared" si="3"/>
        <v>31.670700910661878</v>
      </c>
    </row>
    <row r="240" spans="2:10">
      <c r="B240" s="7">
        <v>43703</v>
      </c>
      <c r="C240">
        <f>IF(OR(アイスクリームの売り上げデータ!B240=1,アイスクリームの売り上げデータ!B240=7),1,0)</f>
        <v>0</v>
      </c>
      <c r="D240">
        <f>アイスクリームの売り上げデータ!C240</f>
        <v>25.3</v>
      </c>
      <c r="E240">
        <f>アイスクリームの売り上げデータ!D240</f>
        <v>28.5</v>
      </c>
      <c r="F240">
        <f>アイスクリームの売り上げデータ!E240</f>
        <v>22.9</v>
      </c>
      <c r="G240">
        <f>アイスクリームの売り上げデータ!F240</f>
        <v>0</v>
      </c>
      <c r="H240">
        <f>アイスクリームの売り上げデータ!G240</f>
        <v>158</v>
      </c>
      <c r="I240">
        <f>重回帰の係数!$B$18*重回帰分析!C240+重回帰の係数!$B$19*重回帰分析!D240+重回帰の係数!$B$20*重回帰分析!E240+重回帰の係数!$B$21*重回帰分析!F240+重回帰の係数!$B$22*重回帰分析!G240+重回帰の係数!$B$17</f>
        <v>178.92081172523075</v>
      </c>
      <c r="J240">
        <f t="shared" si="3"/>
        <v>20.920811725230749</v>
      </c>
    </row>
    <row r="241" spans="2:10">
      <c r="B241" s="7">
        <v>43704</v>
      </c>
      <c r="C241">
        <f>IF(OR(アイスクリームの売り上げデータ!B241=1,アイスクリームの売り上げデータ!B241=7),1,0)</f>
        <v>0</v>
      </c>
      <c r="D241">
        <f>アイスクリームの売り上げデータ!C241</f>
        <v>25.3</v>
      </c>
      <c r="E241">
        <f>アイスクリームの売り上げデータ!D241</f>
        <v>29.4</v>
      </c>
      <c r="F241">
        <f>アイスクリームの売り上げデータ!E241</f>
        <v>22.8</v>
      </c>
      <c r="G241">
        <f>アイスクリームの売り上げデータ!F241</f>
        <v>6</v>
      </c>
      <c r="H241">
        <f>アイスクリームの売り上げデータ!G241</f>
        <v>182</v>
      </c>
      <c r="I241">
        <f>重回帰の係数!$B$18*重回帰分析!C241+重回帰の係数!$B$19*重回帰分析!D241+重回帰の係数!$B$20*重回帰分析!E241+重回帰の係数!$B$21*重回帰分析!F241+重回帰の係数!$B$22*重回帰分析!G241+重回帰の係数!$B$17</f>
        <v>172.632801625529</v>
      </c>
      <c r="J241">
        <f t="shared" si="3"/>
        <v>9.3671983744710019</v>
      </c>
    </row>
    <row r="242" spans="2:10">
      <c r="B242" s="7">
        <v>43705</v>
      </c>
      <c r="C242">
        <f>IF(OR(アイスクリームの売り上げデータ!B242=1,アイスクリームの売り上げデータ!B242=7),1,0)</f>
        <v>0</v>
      </c>
      <c r="D242">
        <f>アイスクリームの売り上げデータ!C242</f>
        <v>25.6</v>
      </c>
      <c r="E242">
        <f>アイスクリームの売り上げデータ!D242</f>
        <v>28.1</v>
      </c>
      <c r="F242">
        <f>アイスクリームの売り上げデータ!E242</f>
        <v>23.2</v>
      </c>
      <c r="G242">
        <f>アイスクリームの売り上げデータ!F242</f>
        <v>7</v>
      </c>
      <c r="H242">
        <f>アイスクリームの売り上げデータ!G242</f>
        <v>194</v>
      </c>
      <c r="I242">
        <f>重回帰の係数!$B$18*重回帰分析!C242+重回帰の係数!$B$19*重回帰分析!D242+重回帰の係数!$B$20*重回帰分析!E242+重回帰の係数!$B$21*重回帰分析!F242+重回帰の係数!$B$22*重回帰分析!G242+重回帰の係数!$B$17</f>
        <v>171.5830129232543</v>
      </c>
      <c r="J242">
        <f t="shared" si="3"/>
        <v>22.416987076745698</v>
      </c>
    </row>
    <row r="243" spans="2:10">
      <c r="B243" s="7">
        <v>43706</v>
      </c>
      <c r="C243">
        <f>IF(OR(アイスクリームの売り上げデータ!B243=1,アイスクリームの売り上げデータ!B243=7),1,0)</f>
        <v>0</v>
      </c>
      <c r="D243">
        <f>アイスクリームの売り上げデータ!C243</f>
        <v>28.9</v>
      </c>
      <c r="E243">
        <f>アイスクリームの売り上げデータ!D243</f>
        <v>34.6</v>
      </c>
      <c r="F243">
        <f>アイスクリームの売り上げデータ!E243</f>
        <v>24.7</v>
      </c>
      <c r="G243">
        <f>アイスクリームの売り上げデータ!F243</f>
        <v>0</v>
      </c>
      <c r="H243">
        <f>アイスクリームの売り上げデータ!G243</f>
        <v>182</v>
      </c>
      <c r="I243">
        <f>重回帰の係数!$B$18*重回帰分析!C243+重回帰の係数!$B$19*重回帰分析!D243+重回帰の係数!$B$20*重回帰分析!E243+重回帰の係数!$B$21*重回帰分析!F243+重回帰の係数!$B$22*重回帰分析!G243+重回帰の係数!$B$17</f>
        <v>192.18102391778251</v>
      </c>
      <c r="J243">
        <f t="shared" si="3"/>
        <v>10.181023917782511</v>
      </c>
    </row>
    <row r="244" spans="2:10">
      <c r="B244" s="7">
        <v>43707</v>
      </c>
      <c r="C244">
        <f>IF(OR(アイスクリームの売り上げデータ!B244=1,アイスクリームの売り上げデータ!B244=7),1,0)</f>
        <v>0</v>
      </c>
      <c r="D244">
        <f>アイスクリームの売り上げデータ!C244</f>
        <v>26</v>
      </c>
      <c r="E244">
        <f>アイスクリームの売り上げデータ!D244</f>
        <v>28</v>
      </c>
      <c r="F244">
        <f>アイスクリームの売り上げデータ!E244</f>
        <v>24.2</v>
      </c>
      <c r="G244">
        <f>アイスクリームの売り上げデータ!F244</f>
        <v>12</v>
      </c>
      <c r="H244">
        <f>アイスクリームの売り上げデータ!G244</f>
        <v>174</v>
      </c>
      <c r="I244">
        <f>重回帰の係数!$B$18*重回帰分析!C244+重回帰の係数!$B$19*重回帰分析!D244+重回帰の係数!$B$20*重回帰分析!E244+重回帰の係数!$B$21*重回帰分析!F244+重回帰の係数!$B$22*重回帰分析!G244+重回帰の係数!$B$17</f>
        <v>167.5002765439753</v>
      </c>
      <c r="J244">
        <f t="shared" si="3"/>
        <v>6.4997234560246966</v>
      </c>
    </row>
    <row r="245" spans="2:10">
      <c r="B245" s="7">
        <v>43708</v>
      </c>
      <c r="C245">
        <f>IF(OR(アイスクリームの売り上げデータ!B245=1,アイスクリームの売り上げデータ!B245=7),1,0)</f>
        <v>1</v>
      </c>
      <c r="D245">
        <f>アイスクリームの売り上げデータ!C245</f>
        <v>27.3</v>
      </c>
      <c r="E245">
        <f>アイスクリームの売り上げデータ!D245</f>
        <v>31.7</v>
      </c>
      <c r="F245">
        <f>アイスクリームの売り上げデータ!E245</f>
        <v>24.3</v>
      </c>
      <c r="G245">
        <f>アイスクリームの売り上げデータ!F245</f>
        <v>0</v>
      </c>
      <c r="H245">
        <f>アイスクリームの売り上げデータ!G245</f>
        <v>223</v>
      </c>
      <c r="I245">
        <f>重回帰の係数!$B$18*重回帰分析!C245+重回帰の係数!$B$19*重回帰分析!D245+重回帰の係数!$B$20*重回帰分析!E245+重回帰の係数!$B$21*重回帰分析!F245+重回帰の係数!$B$22*重回帰分析!G245+重回帰の係数!$B$17</f>
        <v>250.89021161031025</v>
      </c>
      <c r="J245">
        <f t="shared" si="3"/>
        <v>27.890211610310246</v>
      </c>
    </row>
    <row r="246" spans="2:10">
      <c r="B246" s="7">
        <v>43709</v>
      </c>
      <c r="C246">
        <f>IF(OR(アイスクリームの売り上げデータ!B246=1,アイスクリームの売り上げデータ!B246=7),1,0)</f>
        <v>1</v>
      </c>
      <c r="D246">
        <f>アイスクリームの売り上げデータ!C246</f>
        <v>27.7</v>
      </c>
      <c r="E246">
        <f>アイスクリームの売り上げデータ!D246</f>
        <v>32.1</v>
      </c>
      <c r="F246">
        <f>アイスクリームの売り上げデータ!E246</f>
        <v>25</v>
      </c>
      <c r="G246">
        <f>アイスクリームの売り上げデータ!F246</f>
        <v>0</v>
      </c>
      <c r="H246">
        <f>アイスクリームの売り上げデータ!G246</f>
        <v>260</v>
      </c>
      <c r="I246">
        <f>重回帰の係数!$B$18*重回帰分析!C246+重回帰の係数!$B$19*重回帰分析!D246+重回帰の係数!$B$20*重回帰分析!E246+重回帰の係数!$B$21*重回帰分析!F246+重回帰の係数!$B$22*重回帰分析!G246+重回帰の係数!$B$17</f>
        <v>252.5812038571633</v>
      </c>
      <c r="J246">
        <f t="shared" si="3"/>
        <v>7.4187961428366975</v>
      </c>
    </row>
    <row r="247" spans="2:10">
      <c r="B247" s="7">
        <v>43710</v>
      </c>
      <c r="C247">
        <f>IF(OR(アイスクリームの売り上げデータ!B247=1,アイスクリームの売り上げデータ!B247=7),1,0)</f>
        <v>0</v>
      </c>
      <c r="D247">
        <f>アイスクリームの売り上げデータ!C247</f>
        <v>27.6</v>
      </c>
      <c r="E247">
        <f>アイスクリームの売り上げデータ!D247</f>
        <v>31.8</v>
      </c>
      <c r="F247">
        <f>アイスクリームの売り上げデータ!E247</f>
        <v>24.1</v>
      </c>
      <c r="G247">
        <f>アイスクリームの売り上げデータ!F247</f>
        <v>0</v>
      </c>
      <c r="H247">
        <f>アイスクリームの売り上げデータ!G247</f>
        <v>163</v>
      </c>
      <c r="I247">
        <f>重回帰の係数!$B$18*重回帰分析!C247+重回帰の係数!$B$19*重回帰分析!D247+重回帰の係数!$B$20*重回帰分析!E247+重回帰の係数!$B$21*重回帰分析!F247+重回帰の係数!$B$22*重回帰分析!G247+重回帰の係数!$B$17</f>
        <v>187.0296873232264</v>
      </c>
      <c r="J247">
        <f t="shared" si="3"/>
        <v>24.029687323226398</v>
      </c>
    </row>
    <row r="248" spans="2:10">
      <c r="B248" s="7">
        <v>43711</v>
      </c>
      <c r="C248">
        <f>IF(OR(アイスクリームの売り上げデータ!B248=1,アイスクリームの売り上げデータ!B248=7),1,0)</f>
        <v>0</v>
      </c>
      <c r="D248">
        <f>アイスクリームの売り上げデータ!C248</f>
        <v>25.8</v>
      </c>
      <c r="E248">
        <f>アイスクリームの売り上げデータ!D248</f>
        <v>28.5</v>
      </c>
      <c r="F248">
        <f>アイスクリームの売り上げデータ!E248</f>
        <v>22.6</v>
      </c>
      <c r="G248">
        <f>アイスクリームの売り上げデータ!F248</f>
        <v>1.5</v>
      </c>
      <c r="H248">
        <f>アイスクリームの売り上げデータ!G248</f>
        <v>174</v>
      </c>
      <c r="I248">
        <f>重回帰の係数!$B$18*重回帰分析!C248+重回帰の係数!$B$19*重回帰分析!D248+重回帰の係数!$B$20*重回帰分析!E248+重回帰の係数!$B$21*重回帰分析!F248+重回帰の係数!$B$22*重回帰分析!G248+重回帰の係数!$B$17</f>
        <v>178.04060836467545</v>
      </c>
      <c r="J248">
        <f t="shared" si="3"/>
        <v>4.0406083646754496</v>
      </c>
    </row>
    <row r="249" spans="2:10">
      <c r="B249" s="7">
        <v>43712</v>
      </c>
      <c r="C249">
        <f>IF(OR(アイスクリームの売り上げデータ!B249=1,アイスクリームの売り上げデータ!B249=7),1,0)</f>
        <v>0</v>
      </c>
      <c r="D249">
        <f>アイスクリームの売り上げデータ!C249</f>
        <v>23.7</v>
      </c>
      <c r="E249">
        <f>アイスクリームの売り上げデータ!D249</f>
        <v>26.5</v>
      </c>
      <c r="F249">
        <f>アイスクリームの売り上げデータ!E249</f>
        <v>22.5</v>
      </c>
      <c r="G249">
        <f>アイスクリームの売り上げデータ!F249</f>
        <v>0</v>
      </c>
      <c r="H249">
        <f>アイスクリームの売り上げデータ!G249</f>
        <v>198</v>
      </c>
      <c r="I249">
        <f>重回帰の係数!$B$18*重回帰分析!C249+重回帰の係数!$B$19*重回帰分析!D249+重回帰の係数!$B$20*重回帰分析!E249+重回帰の係数!$B$21*重回帰分析!F249+重回帰の係数!$B$22*重回帰分析!G249+重回帰の係数!$B$17</f>
        <v>173.83200892432785</v>
      </c>
      <c r="J249">
        <f t="shared" si="3"/>
        <v>24.167991075672148</v>
      </c>
    </row>
    <row r="250" spans="2:10">
      <c r="B250" s="7">
        <v>43713</v>
      </c>
      <c r="C250">
        <f>IF(OR(アイスクリームの売り上げデータ!B250=1,アイスクリームの売り上げデータ!B250=7),1,0)</f>
        <v>0</v>
      </c>
      <c r="D250">
        <f>アイスクリームの売り上げデータ!C250</f>
        <v>25.7</v>
      </c>
      <c r="E250">
        <f>アイスクリームの売り上げデータ!D250</f>
        <v>29.6</v>
      </c>
      <c r="F250">
        <f>アイスクリームの売り上げデータ!E250</f>
        <v>23</v>
      </c>
      <c r="G250">
        <f>アイスクリームの売り上げデータ!F250</f>
        <v>0</v>
      </c>
      <c r="H250">
        <f>アイスクリームの売り上げデータ!G250</f>
        <v>183</v>
      </c>
      <c r="I250">
        <f>重回帰の係数!$B$18*重回帰分析!C250+重回帰の係数!$B$19*重回帰分析!D250+重回帰の係数!$B$20*重回帰分析!E250+重回帰の係数!$B$21*重回帰分析!F250+重回帰の係数!$B$22*重回帰分析!G250+重回帰の係数!$B$17</f>
        <v>180.5983445067979</v>
      </c>
      <c r="J250">
        <f t="shared" si="3"/>
        <v>2.4016554932020995</v>
      </c>
    </row>
    <row r="251" spans="2:10">
      <c r="B251" s="7">
        <v>43714</v>
      </c>
      <c r="C251">
        <f>IF(OR(アイスクリームの売り上げデータ!B251=1,アイスクリームの売り上げデータ!B251=7),1,0)</f>
        <v>0</v>
      </c>
      <c r="D251">
        <f>アイスクリームの売り上げデータ!C251</f>
        <v>27.9</v>
      </c>
      <c r="E251">
        <f>アイスクリームの売り上げデータ!D251</f>
        <v>32.9</v>
      </c>
      <c r="F251">
        <f>アイスクリームの売り上げデータ!E251</f>
        <v>23.1</v>
      </c>
      <c r="G251">
        <f>アイスクリームの売り上げデータ!F251</f>
        <v>0</v>
      </c>
      <c r="H251">
        <f>アイスクリームの売り上げデータ!G251</f>
        <v>196</v>
      </c>
      <c r="I251">
        <f>重回帰の係数!$B$18*重回帰分析!C251+重回帰の係数!$B$19*重回帰分析!D251+重回帰の係数!$B$20*重回帰分析!E251+重回帰の係数!$B$21*重回帰分析!F251+重回帰の係数!$B$22*重回帰分析!G251+重回帰の係数!$B$17</f>
        <v>187.60224259579755</v>
      </c>
      <c r="J251">
        <f t="shared" si="3"/>
        <v>8.3977574042024514</v>
      </c>
    </row>
    <row r="252" spans="2:10">
      <c r="B252" s="7">
        <v>43715</v>
      </c>
      <c r="C252">
        <f>IF(OR(アイスクリームの売り上げデータ!B252=1,アイスクリームの売り上げデータ!B252=7),1,0)</f>
        <v>1</v>
      </c>
      <c r="D252">
        <f>アイスクリームの売り上げデータ!C252</f>
        <v>28.4</v>
      </c>
      <c r="E252">
        <f>アイスクリームの売り上げデータ!D252</f>
        <v>33.5</v>
      </c>
      <c r="F252">
        <f>アイスクリームの売り上げデータ!E252</f>
        <v>24.8</v>
      </c>
      <c r="G252">
        <f>アイスクリームの売り上げデータ!F252</f>
        <v>0</v>
      </c>
      <c r="H252">
        <f>アイスクリームの売り上げデータ!G252</f>
        <v>239</v>
      </c>
      <c r="I252">
        <f>重回帰の係数!$B$18*重回帰分析!C252+重回帰の係数!$B$19*重回帰分析!D252+重回帰の係数!$B$20*重回帰分析!E252+重回帰の係数!$B$21*重回帰分析!F252+重回帰の係数!$B$22*重回帰分析!G252+重回帰の係数!$B$17</f>
        <v>254.85825384528363</v>
      </c>
      <c r="J252">
        <f t="shared" si="3"/>
        <v>15.858253845283627</v>
      </c>
    </row>
    <row r="253" spans="2:10">
      <c r="B253" s="7">
        <v>43716</v>
      </c>
      <c r="C253">
        <f>IF(OR(アイスクリームの売り上げデータ!B253=1,アイスクリームの売り上げデータ!B253=7),1,0)</f>
        <v>1</v>
      </c>
      <c r="D253">
        <f>アイスクリームの売り上げデータ!C253</f>
        <v>29.1</v>
      </c>
      <c r="E253">
        <f>アイスクリームの売り上げデータ!D253</f>
        <v>33.299999999999997</v>
      </c>
      <c r="F253">
        <f>アイスクリームの売り上げデータ!E253</f>
        <v>25.3</v>
      </c>
      <c r="G253">
        <f>アイスクリームの売り上げデータ!F253</f>
        <v>8.5</v>
      </c>
      <c r="H253">
        <f>アイスクリームの売り上げデータ!G253</f>
        <v>242</v>
      </c>
      <c r="I253">
        <f>重回帰の係数!$B$18*重回帰分析!C253+重回帰の係数!$B$19*重回帰分析!D253+重回帰の係数!$B$20*重回帰分析!E253+重回帰の係数!$B$21*重回帰分析!F253+重回帰の係数!$B$22*重回帰分析!G253+重回帰の係数!$B$17</f>
        <v>246.96730991691652</v>
      </c>
      <c r="J253">
        <f t="shared" si="3"/>
        <v>4.9673099169165198</v>
      </c>
    </row>
    <row r="254" spans="2:10">
      <c r="B254" s="7">
        <v>43717</v>
      </c>
      <c r="C254">
        <f>IF(OR(アイスクリームの売り上げデータ!B254=1,アイスクリームの売り上げデータ!B254=7),1,0)</f>
        <v>0</v>
      </c>
      <c r="D254">
        <f>アイスクリームの売り上げデータ!C254</f>
        <v>29</v>
      </c>
      <c r="E254">
        <f>アイスクリームの売り上げデータ!D254</f>
        <v>36.200000000000003</v>
      </c>
      <c r="F254">
        <f>アイスクリームの売り上げデータ!E254</f>
        <v>24.5</v>
      </c>
      <c r="G254">
        <f>アイスクリームの売り上げデータ!F254</f>
        <v>119</v>
      </c>
      <c r="H254">
        <f>アイスクリームの売り上げデータ!G254</f>
        <v>42</v>
      </c>
      <c r="I254">
        <f>重回帰の係数!$B$18*重回帰分析!C254+重回帰の係数!$B$19*重回帰分析!D254+重回帰の係数!$B$20*重回帰分析!E254+重回帰の係数!$B$21*重回帰分析!F254+重回帰の係数!$B$22*重回帰分析!G254+重回帰の係数!$B$17</f>
        <v>58.149952319536311</v>
      </c>
      <c r="J254">
        <f t="shared" si="3"/>
        <v>16.149952319536311</v>
      </c>
    </row>
    <row r="255" spans="2:10">
      <c r="B255" s="7">
        <v>43718</v>
      </c>
      <c r="C255">
        <f>IF(OR(アイスクリームの売り上げデータ!B255=1,アイスクリームの売り上げデータ!B255=7),1,0)</f>
        <v>0</v>
      </c>
      <c r="D255">
        <f>アイスクリームの売り上げデータ!C255</f>
        <v>29.9</v>
      </c>
      <c r="E255">
        <f>アイスクリームの売り上げデータ!D255</f>
        <v>35.6</v>
      </c>
      <c r="F255">
        <f>アイスクリームの売り上げデータ!E255</f>
        <v>25.4</v>
      </c>
      <c r="G255">
        <f>アイスクリームの売り上げデータ!F255</f>
        <v>0.5</v>
      </c>
      <c r="H255">
        <f>アイスクリームの売り上げデータ!G255</f>
        <v>185</v>
      </c>
      <c r="I255">
        <f>重回帰の係数!$B$18*重回帰分析!C255+重回帰の係数!$B$19*重回帰分析!D255+重回帰の係数!$B$20*重回帰分析!E255+重回帰の係数!$B$21*重回帰分析!F255+重回帰の係数!$B$22*重回帰分析!G255+重回帰の係数!$B$17</f>
        <v>194.98948493741551</v>
      </c>
      <c r="J255">
        <f t="shared" si="3"/>
        <v>9.9894849374155115</v>
      </c>
    </row>
    <row r="256" spans="2:10">
      <c r="B256" s="7">
        <v>43719</v>
      </c>
      <c r="C256">
        <f>IF(OR(アイスクリームの売り上げデータ!B256=1,アイスクリームの売り上げデータ!B256=7),1,0)</f>
        <v>0</v>
      </c>
      <c r="D256">
        <f>アイスクリームの売り上げデータ!C256</f>
        <v>27.4</v>
      </c>
      <c r="E256">
        <f>アイスクリームの売り上げデータ!D256</f>
        <v>32.299999999999997</v>
      </c>
      <c r="F256">
        <f>アイスクリームの売り上げデータ!E256</f>
        <v>24.3</v>
      </c>
      <c r="G256">
        <f>アイスクリームの売り上げデータ!F256</f>
        <v>7.5</v>
      </c>
      <c r="H256">
        <f>アイスクリームの売り上げデータ!G256</f>
        <v>210</v>
      </c>
      <c r="I256">
        <f>重回帰の係数!$B$18*重回帰分析!C256+重回帰の係数!$B$19*重回帰分析!D256+重回帰の係数!$B$20*重回帰分析!E256+重回帰の係数!$B$21*重回帰分析!F256+重回帰の係数!$B$22*重回帰分析!G256+重回帰の係数!$B$17</f>
        <v>178.58420860609641</v>
      </c>
      <c r="J256">
        <f t="shared" si="3"/>
        <v>31.415791393903589</v>
      </c>
    </row>
    <row r="257" spans="2:10">
      <c r="B257" s="7">
        <v>43720</v>
      </c>
      <c r="C257">
        <f>IF(OR(アイスクリームの売り上げデータ!B257=1,アイスクリームの売り上げデータ!B257=7),1,0)</f>
        <v>0</v>
      </c>
      <c r="D257">
        <f>アイスクリームの売り上げデータ!C257</f>
        <v>25.1</v>
      </c>
      <c r="E257">
        <f>アイスクリームの売り上げデータ!D257</f>
        <v>28.7</v>
      </c>
      <c r="F257">
        <f>アイスクリームの売り上げデータ!E257</f>
        <v>22.7</v>
      </c>
      <c r="G257">
        <f>アイスクリームの売り上げデータ!F257</f>
        <v>0</v>
      </c>
      <c r="H257">
        <f>アイスクリームの売り上げデータ!G257</f>
        <v>173</v>
      </c>
      <c r="I257">
        <f>重回帰の係数!$B$18*重回帰分析!C257+重回帰の係数!$B$19*重回帰分析!D257+重回帰の係数!$B$20*重回帰分析!E257+重回帰の係数!$B$21*重回帰分析!F257+重回帰の係数!$B$22*重回帰分析!G257+重回帰の係数!$B$17</f>
        <v>178.46712371274458</v>
      </c>
      <c r="J257">
        <f t="shared" si="3"/>
        <v>5.4671237127445806</v>
      </c>
    </row>
    <row r="258" spans="2:10">
      <c r="B258" s="7">
        <v>43721</v>
      </c>
      <c r="C258">
        <f>IF(OR(アイスクリームの売り上げデータ!B258=1,アイスクリームの売り上げデータ!B258=7),1,0)</f>
        <v>0</v>
      </c>
      <c r="D258">
        <f>アイスクリームの売り上げデータ!C258</f>
        <v>22.4</v>
      </c>
      <c r="E258">
        <f>アイスクリームの売り上げデータ!D258</f>
        <v>23.6</v>
      </c>
      <c r="F258">
        <f>アイスクリームの売り上げデータ!E258</f>
        <v>20.3</v>
      </c>
      <c r="G258">
        <f>アイスクリームの売り上げデータ!F258</f>
        <v>0</v>
      </c>
      <c r="H258">
        <f>アイスクリームの売り上げデータ!G258</f>
        <v>160</v>
      </c>
      <c r="I258">
        <f>重回帰の係数!$B$18*重回帰分析!C258+重回帰の係数!$B$19*重回帰分析!D258+重回帰の係数!$B$20*重回帰分析!E258+重回帰の係数!$B$21*重回帰分析!F258+重回帰の係数!$B$22*重回帰分析!G258+重回帰の係数!$B$17</f>
        <v>167.31619193350122</v>
      </c>
      <c r="J258">
        <f t="shared" si="3"/>
        <v>7.3161919335012158</v>
      </c>
    </row>
    <row r="259" spans="2:10">
      <c r="B259" s="7">
        <v>43722</v>
      </c>
      <c r="C259">
        <f>IF(OR(アイスクリームの売り上げデータ!B259=1,アイスクリームの売り上げデータ!B259=7),1,0)</f>
        <v>1</v>
      </c>
      <c r="D259">
        <f>アイスクリームの売り上げデータ!C259</f>
        <v>22.1</v>
      </c>
      <c r="E259">
        <f>アイスクリームの売り上げデータ!D259</f>
        <v>25.1</v>
      </c>
      <c r="F259">
        <f>アイスクリームの売り上げデータ!E259</f>
        <v>19.5</v>
      </c>
      <c r="G259">
        <f>アイスクリームの売り上げデータ!F259</f>
        <v>0</v>
      </c>
      <c r="H259">
        <f>アイスクリームの売り上げデータ!G259</f>
        <v>224</v>
      </c>
      <c r="I259">
        <f>重回帰の係数!$B$18*重回帰分析!C259+重回帰の係数!$B$19*重回帰分析!D259+重回帰の係数!$B$20*重回帰分析!E259+重回帰の係数!$B$21*重回帰分析!F259+重回帰の係数!$B$22*重回帰分析!G259+重回帰の係数!$B$17</f>
        <v>231.44702361496616</v>
      </c>
      <c r="J259">
        <f t="shared" si="3"/>
        <v>7.4470236149661559</v>
      </c>
    </row>
    <row r="260" spans="2:10">
      <c r="B260" s="7">
        <v>43723</v>
      </c>
      <c r="C260">
        <f>IF(OR(アイスクリームの売り上げデータ!B260=1,アイスクリームの売り上げデータ!B260=7),1,0)</f>
        <v>1</v>
      </c>
      <c r="D260">
        <f>アイスクリームの売り上げデータ!C260</f>
        <v>25.2</v>
      </c>
      <c r="E260">
        <f>アイスクリームの売り上げデータ!D260</f>
        <v>31.1</v>
      </c>
      <c r="F260">
        <f>アイスクリームの売り上げデータ!E260</f>
        <v>20.3</v>
      </c>
      <c r="G260">
        <f>アイスクリームの売り上げデータ!F260</f>
        <v>0.5</v>
      </c>
      <c r="H260">
        <f>アイスクリームの売り上げデータ!G260</f>
        <v>276</v>
      </c>
      <c r="I260">
        <f>重回帰の係数!$B$18*重回帰分析!C260+重回帰の係数!$B$19*重回帰分析!D260+重回帰の係数!$B$20*重回帰分析!E260+重回帰の係数!$B$21*重回帰分析!F260+重回帰の係数!$B$22*重回帰分析!G260+重回帰の係数!$B$17</f>
        <v>242.19448208318568</v>
      </c>
      <c r="J260">
        <f t="shared" ref="J260:J323" si="4">ABS(H260-I260)</f>
        <v>33.805517916814324</v>
      </c>
    </row>
    <row r="261" spans="2:10">
      <c r="B261" s="7">
        <v>43724</v>
      </c>
      <c r="C261">
        <f>IF(OR(アイスクリームの売り上げデータ!B261=1,アイスクリームの売り上げデータ!B261=7),1,0)</f>
        <v>0</v>
      </c>
      <c r="D261">
        <f>アイスクリームの売り上げデータ!C261</f>
        <v>22.9</v>
      </c>
      <c r="E261">
        <f>アイスクリームの売り上げデータ!D261</f>
        <v>25.3</v>
      </c>
      <c r="F261">
        <f>アイスクリームの売り上げデータ!E261</f>
        <v>21.4</v>
      </c>
      <c r="G261">
        <f>アイスクリームの売り上げデータ!F261</f>
        <v>28.5</v>
      </c>
      <c r="H261">
        <f>アイスクリームの売り上げデータ!G261</f>
        <v>122</v>
      </c>
      <c r="I261">
        <f>重回帰の係数!$B$18*重回帰分析!C261+重回帰の係数!$B$19*重回帰分析!D261+重回帰の係数!$B$20*重回帰分析!E261+重回帰の係数!$B$21*重回帰分析!F261+重回帰の係数!$B$22*重回帰分析!G261+重回帰の係数!$B$17</f>
        <v>138.05196206071329</v>
      </c>
      <c r="J261">
        <f t="shared" si="4"/>
        <v>16.051962060713294</v>
      </c>
    </row>
    <row r="262" spans="2:10">
      <c r="B262" s="7">
        <v>43725</v>
      </c>
      <c r="C262">
        <f>IF(OR(アイスクリームの売り上げデータ!B262=1,アイスクリームの売り上げデータ!B262=7),1,0)</f>
        <v>0</v>
      </c>
      <c r="D262">
        <f>アイスクリームの売り上げデータ!C262</f>
        <v>25.8</v>
      </c>
      <c r="E262">
        <f>アイスクリームの売り上げデータ!D262</f>
        <v>31.1</v>
      </c>
      <c r="F262">
        <f>アイスクリームの売り上げデータ!E262</f>
        <v>22.3</v>
      </c>
      <c r="G262">
        <f>アイスクリームの売り上げデータ!F262</f>
        <v>0</v>
      </c>
      <c r="H262">
        <f>アイスクリームの売り上げデータ!G262</f>
        <v>169</v>
      </c>
      <c r="I262">
        <f>重回帰の係数!$B$18*重回帰分析!C262+重回帰の係数!$B$19*重回帰分析!D262+重回帰の係数!$B$20*重回帰分析!E262+重回帰の係数!$B$21*重回帰分析!F262+重回帰の係数!$B$22*重回帰分析!G262+重回帰の係数!$B$17</f>
        <v>181.25761153859463</v>
      </c>
      <c r="J262">
        <f t="shared" si="4"/>
        <v>12.257611538594631</v>
      </c>
    </row>
    <row r="263" spans="2:10">
      <c r="B263" s="7">
        <v>43726</v>
      </c>
      <c r="C263">
        <f>IF(OR(アイスクリームの売り上げデータ!B263=1,アイスクリームの売り上げデータ!B263=7),1,0)</f>
        <v>0</v>
      </c>
      <c r="D263">
        <f>アイスクリームの売り上げデータ!C263</f>
        <v>21.2</v>
      </c>
      <c r="E263">
        <f>アイスクリームの売り上げデータ!D263</f>
        <v>24.8</v>
      </c>
      <c r="F263">
        <f>アイスクリームの売り上げデータ!E263</f>
        <v>18.399999999999999</v>
      </c>
      <c r="G263">
        <f>アイスクリームの売り上げデータ!F263</f>
        <v>9.5</v>
      </c>
      <c r="H263">
        <f>アイスクリームの売り上げデータ!G263</f>
        <v>164</v>
      </c>
      <c r="I263">
        <f>重回帰の係数!$B$18*重回帰分析!C263+重回帰の係数!$B$19*重回帰分析!D263+重回帰の係数!$B$20*重回帰分析!E263+重回帰の係数!$B$21*重回帰分析!F263+重回帰の係数!$B$22*重回帰分析!G263+重回帰の係数!$B$17</f>
        <v>153.23632100644471</v>
      </c>
      <c r="J263">
        <f t="shared" si="4"/>
        <v>10.763678993555288</v>
      </c>
    </row>
    <row r="264" spans="2:10">
      <c r="B264" s="7">
        <v>43727</v>
      </c>
      <c r="C264">
        <f>IF(OR(アイスクリームの売り上げデータ!B264=1,アイスクリームの売り上げデータ!B264=7),1,0)</f>
        <v>0</v>
      </c>
      <c r="D264">
        <f>アイスクリームの売り上げデータ!C264</f>
        <v>22.1</v>
      </c>
      <c r="E264">
        <f>アイスクリームの売り上げデータ!D264</f>
        <v>27.7</v>
      </c>
      <c r="F264">
        <f>アイスクリームの売り上げデータ!E264</f>
        <v>17.100000000000001</v>
      </c>
      <c r="G264">
        <f>アイスクリームの売り上げデータ!F264</f>
        <v>0</v>
      </c>
      <c r="H264">
        <f>アイスクリームの売り上げデータ!G264</f>
        <v>172</v>
      </c>
      <c r="I264">
        <f>重回帰の係数!$B$18*重回帰分析!C264+重回帰の係数!$B$19*重回帰分析!D264+重回帰の係数!$B$20*重回帰分析!E264+重回帰の係数!$B$21*重回帰分析!F264+重回帰の係数!$B$22*重回帰分析!G264+重回帰の係数!$B$17</f>
        <v>166.85208644459914</v>
      </c>
      <c r="J264">
        <f t="shared" si="4"/>
        <v>5.1479135554008622</v>
      </c>
    </row>
    <row r="265" spans="2:10">
      <c r="B265" s="7">
        <v>43728</v>
      </c>
      <c r="C265">
        <f>IF(OR(アイスクリームの売り上げデータ!B265=1,アイスクリームの売り上げデータ!B265=7),1,0)</f>
        <v>0</v>
      </c>
      <c r="D265">
        <f>アイスクリームの売り上げデータ!C265</f>
        <v>22.8</v>
      </c>
      <c r="E265">
        <f>アイスクリームの売り上げデータ!D265</f>
        <v>27.3</v>
      </c>
      <c r="F265">
        <f>アイスクリームの売り上げデータ!E265</f>
        <v>19.7</v>
      </c>
      <c r="G265">
        <f>アイスクリームの売り上げデータ!F265</f>
        <v>0</v>
      </c>
      <c r="H265">
        <f>アイスクリームの売り上げデータ!G265</f>
        <v>158</v>
      </c>
      <c r="I265">
        <f>重回帰の係数!$B$18*重回帰分析!C265+重回帰の係数!$B$19*重回帰分析!D265+重回帰の係数!$B$20*重回帰分析!E265+重回帰の係数!$B$21*重回帰分析!F265+重回帰の係数!$B$22*重回帰分析!G265+重回帰の係数!$B$17</f>
        <v>170.18275902511061</v>
      </c>
      <c r="J265">
        <f t="shared" si="4"/>
        <v>12.182759025110613</v>
      </c>
    </row>
    <row r="266" spans="2:10">
      <c r="B266" s="7">
        <v>43729</v>
      </c>
      <c r="C266">
        <f>IF(OR(アイスクリームの売り上げデータ!B266=1,アイスクリームの売り上げデータ!B266=7),1,0)</f>
        <v>1</v>
      </c>
      <c r="D266">
        <f>アイスクリームの売り上げデータ!C266</f>
        <v>21.8</v>
      </c>
      <c r="E266">
        <f>アイスクリームの売り上げデータ!D266</f>
        <v>24.1</v>
      </c>
      <c r="F266">
        <f>アイスクリームの売り上げデータ!E266</f>
        <v>19.899999999999999</v>
      </c>
      <c r="G266">
        <f>アイスクリームの売り上げデータ!F266</f>
        <v>0</v>
      </c>
      <c r="H266">
        <f>アイスクリームの売り上げデータ!G266</f>
        <v>210</v>
      </c>
      <c r="I266">
        <f>重回帰の係数!$B$18*重回帰分析!C266+重回帰の係数!$B$19*重回帰分析!D266+重回帰の係数!$B$20*重回帰分析!E266+重回帰の係数!$B$21*重回帰分析!F266+重回帰の係数!$B$22*重回帰分析!G266+重回帰の係数!$B$17</f>
        <v>230.45567679576766</v>
      </c>
      <c r="J266">
        <f t="shared" si="4"/>
        <v>20.455676795767658</v>
      </c>
    </row>
    <row r="267" spans="2:10">
      <c r="B267" s="7">
        <v>43730</v>
      </c>
      <c r="C267">
        <f>IF(OR(アイスクリームの売り上げデータ!B267=1,アイスクリームの売り上げデータ!B267=7),1,0)</f>
        <v>1</v>
      </c>
      <c r="D267">
        <f>アイスクリームの売り上げデータ!C267</f>
        <v>22.4</v>
      </c>
      <c r="E267">
        <f>アイスクリームの売り上げデータ!D267</f>
        <v>28.5</v>
      </c>
      <c r="F267">
        <f>アイスクリームの売り上げデータ!E267</f>
        <v>18.399999999999999</v>
      </c>
      <c r="G267">
        <f>アイスクリームの売り上げデータ!F267</f>
        <v>17</v>
      </c>
      <c r="H267">
        <f>アイスクリームの売り上げデータ!G267</f>
        <v>235</v>
      </c>
      <c r="I267">
        <f>重回帰の係数!$B$18*重回帰分析!C267+重回帰の係数!$B$19*重回帰分析!D267+重回帰の係数!$B$20*重回帰分析!E267+重回帰の係数!$B$21*重回帰分析!F267+重回帰の係数!$B$22*重回帰分析!G267+重回帰の係数!$B$17</f>
        <v>214.1832678997315</v>
      </c>
      <c r="J267">
        <f t="shared" si="4"/>
        <v>20.816732100268496</v>
      </c>
    </row>
    <row r="268" spans="2:10">
      <c r="B268" s="7">
        <v>43731</v>
      </c>
      <c r="C268">
        <f>IF(OR(アイスクリームの売り上げデータ!B268=1,アイスクリームの売り上げデータ!B268=7),1,0)</f>
        <v>0</v>
      </c>
      <c r="D268">
        <f>アイスクリームの売り上げデータ!C268</f>
        <v>26</v>
      </c>
      <c r="E268">
        <f>アイスクリームの売り上げデータ!D268</f>
        <v>30.7</v>
      </c>
      <c r="F268">
        <f>アイスクリームの売り上げデータ!E268</f>
        <v>20.399999999999999</v>
      </c>
      <c r="G268">
        <f>アイスクリームの売り上げデータ!F268</f>
        <v>3.5</v>
      </c>
      <c r="H268">
        <f>アイスクリームの売り上げデータ!G268</f>
        <v>152</v>
      </c>
      <c r="I268">
        <f>重回帰の係数!$B$18*重回帰分析!C268+重回帰の係数!$B$19*重回帰分析!D268+重回帰の係数!$B$20*重回帰分析!E268+重回帰の係数!$B$21*重回帰分析!F268+重回帰の係数!$B$22*重回帰分析!G268+重回帰の係数!$B$17</f>
        <v>175.89858699308104</v>
      </c>
      <c r="J268">
        <f t="shared" si="4"/>
        <v>23.89858699308104</v>
      </c>
    </row>
    <row r="269" spans="2:10">
      <c r="B269" s="7">
        <v>43732</v>
      </c>
      <c r="C269">
        <f>IF(OR(アイスクリームの売り上げデータ!B269=1,アイスクリームの売り上げデータ!B269=7),1,0)</f>
        <v>0</v>
      </c>
      <c r="D269">
        <f>アイスクリームの売り上げデータ!C269</f>
        <v>25.4</v>
      </c>
      <c r="E269">
        <f>アイスクリームの売り上げデータ!D269</f>
        <v>30.9</v>
      </c>
      <c r="F269">
        <f>アイスクリームの売り上げデータ!E269</f>
        <v>22.6</v>
      </c>
      <c r="G269">
        <f>アイスクリームの売り上げデータ!F269</f>
        <v>1</v>
      </c>
      <c r="H269">
        <f>アイスクリームの売り上げデータ!G269</f>
        <v>180</v>
      </c>
      <c r="I269">
        <f>重回帰の係数!$B$18*重回帰分析!C269+重回帰の係数!$B$19*重回帰分析!D269+重回帰の係数!$B$20*重回帰分析!E269+重回帰の係数!$B$21*重回帰分析!F269+重回帰の係数!$B$22*重回帰分析!G269+重回帰の係数!$B$17</f>
        <v>179.37648307369676</v>
      </c>
      <c r="J269">
        <f t="shared" si="4"/>
        <v>0.62351692630323896</v>
      </c>
    </row>
    <row r="270" spans="2:10">
      <c r="B270" s="7">
        <v>43733</v>
      </c>
      <c r="C270">
        <f>IF(OR(アイスクリームの売り上げデータ!B270=1,アイスクリームの売り上げデータ!B270=7),1,0)</f>
        <v>0</v>
      </c>
      <c r="D270">
        <f>アイスクリームの売り上げデータ!C270</f>
        <v>24.3</v>
      </c>
      <c r="E270">
        <f>アイスクリームの売り上げデータ!D270</f>
        <v>28.9</v>
      </c>
      <c r="F270">
        <f>アイスクリームの売り上げデータ!E270</f>
        <v>20.8</v>
      </c>
      <c r="G270">
        <f>アイスクリームの売り上げデータ!F270</f>
        <v>0</v>
      </c>
      <c r="H270">
        <f>アイスクリームの売り上げデータ!G270</f>
        <v>208</v>
      </c>
      <c r="I270">
        <f>重回帰の係数!$B$18*重回帰分析!C270+重回帰の係数!$B$19*重回帰分析!D270+重回帰の係数!$B$20*重回帰分析!E270+重回帰の係数!$B$21*重回帰分析!F270+重回帰の係数!$B$22*重回帰分析!G270+重回帰の係数!$B$17</f>
        <v>175.35540361000938</v>
      </c>
      <c r="J270">
        <f t="shared" si="4"/>
        <v>32.644596389990625</v>
      </c>
    </row>
    <row r="271" spans="2:10">
      <c r="B271" s="7">
        <v>43734</v>
      </c>
      <c r="C271">
        <f>IF(OR(アイスクリームの売り上げデータ!B271=1,アイスクリームの売り上げデータ!B271=7),1,0)</f>
        <v>0</v>
      </c>
      <c r="D271">
        <f>アイスクリームの売り上げデータ!C271</f>
        <v>22.8</v>
      </c>
      <c r="E271">
        <f>アイスクリームの売り上げデータ!D271</f>
        <v>27.4</v>
      </c>
      <c r="F271">
        <f>アイスクリームの売り上げデータ!E271</f>
        <v>19.600000000000001</v>
      </c>
      <c r="G271">
        <f>アイスクリームの売り上げデータ!F271</f>
        <v>0</v>
      </c>
      <c r="H271">
        <f>アイスクリームの売り上げデータ!G271</f>
        <v>181</v>
      </c>
      <c r="I271">
        <f>重回帰の係数!$B$18*重回帰分析!C271+重回帰の係数!$B$19*重回帰分析!D271+重回帰の係数!$B$20*重回帰分析!E271+重回帰の係数!$B$21*重回帰分析!F271+重回帰の係数!$B$22*重回帰分析!G271+重回帰の係数!$B$17</f>
        <v>170.16925655641458</v>
      </c>
      <c r="J271">
        <f t="shared" si="4"/>
        <v>10.830743443585419</v>
      </c>
    </row>
    <row r="272" spans="2:10">
      <c r="B272" s="7">
        <v>43735</v>
      </c>
      <c r="C272">
        <f>IF(OR(アイスクリームの売り上げデータ!B272=1,アイスクリームの売り上げデータ!B272=7),1,0)</f>
        <v>0</v>
      </c>
      <c r="D272">
        <f>アイスクリームの売り上げデータ!C272</f>
        <v>23</v>
      </c>
      <c r="E272">
        <f>アイスクリームの売り上げデータ!D272</f>
        <v>28.1</v>
      </c>
      <c r="F272">
        <f>アイスクリームの売り上げデータ!E272</f>
        <v>18.2</v>
      </c>
      <c r="G272">
        <f>アイスクリームの売り上げデータ!F272</f>
        <v>0</v>
      </c>
      <c r="H272">
        <f>アイスクリームの売り上げデータ!G272</f>
        <v>176</v>
      </c>
      <c r="I272">
        <f>重回帰の係数!$B$18*重回帰分析!C272+重回帰の係数!$B$19*重回帰分析!D272+重回帰の係数!$B$20*重回帰分析!E272+重回帰の係数!$B$21*重回帰分析!F272+重回帰の係数!$B$22*重回帰分析!G272+重回帰の係数!$B$17</f>
        <v>169.93401764153265</v>
      </c>
      <c r="J272">
        <f t="shared" si="4"/>
        <v>6.0659823584673518</v>
      </c>
    </row>
    <row r="273" spans="2:10">
      <c r="B273" s="7">
        <v>43736</v>
      </c>
      <c r="C273">
        <f>IF(OR(アイスクリームの売り上げデータ!B273=1,アイスクリームの売り上げデータ!B273=7),1,0)</f>
        <v>1</v>
      </c>
      <c r="D273">
        <f>アイスクリームの売り上げデータ!C273</f>
        <v>24.4</v>
      </c>
      <c r="E273">
        <f>アイスクリームの売り上げデータ!D273</f>
        <v>29.6</v>
      </c>
      <c r="F273">
        <f>アイスクリームの売り上げデータ!E273</f>
        <v>20</v>
      </c>
      <c r="G273">
        <f>アイスクリームの売り上げデータ!F273</f>
        <v>0</v>
      </c>
      <c r="H273">
        <f>アイスクリームの売り上げデータ!G273</f>
        <v>213</v>
      </c>
      <c r="I273">
        <f>重回帰の係数!$B$18*重回帰分析!C273+重回帰の係数!$B$19*重回帰分析!D273+重回帰の係数!$B$20*重回帰分析!E273+重回帰の係数!$B$21*重回帰分析!F273+重回帰の係数!$B$22*重回帰分析!G273+重回帰の係数!$B$17</f>
        <v>239.79915866654073</v>
      </c>
      <c r="J273">
        <f t="shared" si="4"/>
        <v>26.799158666540734</v>
      </c>
    </row>
    <row r="274" spans="2:10">
      <c r="B274" s="7">
        <v>43737</v>
      </c>
      <c r="C274">
        <f>IF(OR(アイスクリームの売り上げデータ!B274=1,アイスクリームの売り上げデータ!B274=7),1,0)</f>
        <v>1</v>
      </c>
      <c r="D274">
        <f>アイスクリームの売り上げデータ!C274</f>
        <v>24.7</v>
      </c>
      <c r="E274">
        <f>アイスクリームの売り上げデータ!D274</f>
        <v>27.7</v>
      </c>
      <c r="F274">
        <f>アイスクリームの売り上げデータ!E274</f>
        <v>22.4</v>
      </c>
      <c r="G274">
        <f>アイスクリームの売り上げデータ!F274</f>
        <v>0</v>
      </c>
      <c r="H274">
        <f>アイスクリームの売り上げデータ!G274</f>
        <v>256</v>
      </c>
      <c r="I274">
        <f>重回帰の係数!$B$18*重回帰分析!C274+重回帰の係数!$B$19*重回帰分析!D274+重回帰の係数!$B$20*重回帰分析!E274+重回帰の係数!$B$21*重回帰分析!F274+重回帰の係数!$B$22*重回帰分析!G274+重回帰の係数!$B$17</f>
        <v>241.1010192623379</v>
      </c>
      <c r="J274">
        <f t="shared" si="4"/>
        <v>14.8989807376621</v>
      </c>
    </row>
    <row r="275" spans="2:10">
      <c r="B275" s="7">
        <v>43738</v>
      </c>
      <c r="C275">
        <f>IF(OR(アイスクリームの売り上げデータ!B275=1,アイスクリームの売り上げデータ!B275=7),1,0)</f>
        <v>0</v>
      </c>
      <c r="D275">
        <f>アイスクリームの売り上げデータ!C275</f>
        <v>25.2</v>
      </c>
      <c r="E275">
        <f>アイスクリームの売り上げデータ!D275</f>
        <v>29.7</v>
      </c>
      <c r="F275">
        <f>アイスクリームの売り上げデータ!E275</f>
        <v>21.4</v>
      </c>
      <c r="G275">
        <f>アイスクリームの売り上げデータ!F275</f>
        <v>0</v>
      </c>
      <c r="H275">
        <f>アイスクリームの売り上げデータ!G275</f>
        <v>162</v>
      </c>
      <c r="I275">
        <f>重回帰の係数!$B$18*重回帰分析!C275+重回帰の係数!$B$19*重回帰分析!D275+重回帰の係数!$B$20*重回帰分析!E275+重回帰の係数!$B$21*重回帰分析!F275+重回帰の係数!$B$22*重回帰分析!G275+重回帰の係数!$B$17</f>
        <v>178.30226711657252</v>
      </c>
      <c r="J275">
        <f t="shared" si="4"/>
        <v>16.302267116572523</v>
      </c>
    </row>
    <row r="276" spans="2:10">
      <c r="B276" s="7">
        <v>43739</v>
      </c>
      <c r="C276">
        <f>IF(OR(アイスクリームの売り上げデータ!B276=1,アイスクリームの売り上げデータ!B276=7),1,0)</f>
        <v>0</v>
      </c>
      <c r="D276">
        <f>アイスクリームの売り上げデータ!C276</f>
        <v>24.5</v>
      </c>
      <c r="E276">
        <f>アイスクリームの売り上げデータ!D276</f>
        <v>30.1</v>
      </c>
      <c r="F276">
        <f>アイスクリームの売り上げデータ!E276</f>
        <v>20.9</v>
      </c>
      <c r="G276">
        <f>アイスクリームの売り上げデータ!F276</f>
        <v>0</v>
      </c>
      <c r="H276">
        <f>アイスクリームの売り上げデータ!G276</f>
        <v>174</v>
      </c>
      <c r="I276">
        <f>重回帰の係数!$B$18*重回帰分析!C276+重回帰の係数!$B$19*重回帰分析!D276+重回帰の係数!$B$20*重回帰分析!E276+重回帰の係数!$B$21*重回帰分析!F276+重回帰の係数!$B$22*重回帰分析!G276+重回帰の係数!$B$17</f>
        <v>176.6738086633726</v>
      </c>
      <c r="J276">
        <f t="shared" si="4"/>
        <v>2.673808663372597</v>
      </c>
    </row>
    <row r="277" spans="2:10">
      <c r="B277" s="7">
        <v>43740</v>
      </c>
      <c r="C277">
        <f>IF(OR(アイスクリームの売り上げデータ!B277=1,アイスクリームの売り上げデータ!B277=7),1,0)</f>
        <v>0</v>
      </c>
      <c r="D277">
        <f>アイスクリームの売り上げデータ!C277</f>
        <v>23.9</v>
      </c>
      <c r="E277">
        <f>アイスクリームの売り上げデータ!D277</f>
        <v>29.6</v>
      </c>
      <c r="F277">
        <f>アイスクリームの売り上げデータ!E277</f>
        <v>20.399999999999999</v>
      </c>
      <c r="G277">
        <f>アイスクリームの売り上げデータ!F277</f>
        <v>0</v>
      </c>
      <c r="H277">
        <f>アイスクリームの売り上げデータ!G277</f>
        <v>193</v>
      </c>
      <c r="I277">
        <f>重回帰の係数!$B$18*重回帰分析!C277+重回帰の係数!$B$19*重回帰分析!D277+重回帰の係数!$B$20*重回帰分析!E277+重回帰の係数!$B$21*重回帰分析!F277+重回帰の係数!$B$22*重回帰分析!G277+重回帰の係数!$B$17</f>
        <v>174.65069362570767</v>
      </c>
      <c r="J277">
        <f t="shared" si="4"/>
        <v>18.349306374292325</v>
      </c>
    </row>
    <row r="278" spans="2:10">
      <c r="B278" s="7">
        <v>43741</v>
      </c>
      <c r="C278">
        <f>IF(OR(アイスクリームの売り上げデータ!B278=1,アイスクリームの売り上げデータ!B278=7),1,0)</f>
        <v>0</v>
      </c>
      <c r="D278">
        <f>アイスクリームの売り上げデータ!C278</f>
        <v>24.5</v>
      </c>
      <c r="E278">
        <f>アイスクリームの売り上げデータ!D278</f>
        <v>28.3</v>
      </c>
      <c r="F278">
        <f>アイスクリームの売り上げデータ!E278</f>
        <v>20.6</v>
      </c>
      <c r="G278">
        <f>アイスクリームの売り上げデータ!F278</f>
        <v>0</v>
      </c>
      <c r="H278">
        <f>アイスクリームの売り上げデータ!G278</f>
        <v>171</v>
      </c>
      <c r="I278">
        <f>重回帰の係数!$B$18*重回帰分析!C278+重回帰の係数!$B$19*重回帰分析!D278+重回帰の係数!$B$20*重回帰分析!E278+重回帰の係数!$B$21*重回帰分析!F278+重回帰の係数!$B$22*重回帰分析!G278+重回帰の係数!$B$17</f>
        <v>175.21463897258963</v>
      </c>
      <c r="J278">
        <f t="shared" si="4"/>
        <v>4.2146389725896256</v>
      </c>
    </row>
    <row r="279" spans="2:10">
      <c r="B279" s="7">
        <v>43742</v>
      </c>
      <c r="C279">
        <f>IF(OR(アイスクリームの売り上げデータ!B279=1,アイスクリームの売り上げデータ!B279=7),1,0)</f>
        <v>0</v>
      </c>
      <c r="D279">
        <f>アイスクリームの売り上げデータ!C279</f>
        <v>24.8</v>
      </c>
      <c r="E279">
        <f>アイスクリームの売り上げデータ!D279</f>
        <v>29.4</v>
      </c>
      <c r="F279">
        <f>アイスクリームの売り上げデータ!E279</f>
        <v>21.5</v>
      </c>
      <c r="G279">
        <f>アイスクリームの売り上げデータ!F279</f>
        <v>10</v>
      </c>
      <c r="H279">
        <f>アイスクリームの売り上げデータ!G279</f>
        <v>161</v>
      </c>
      <c r="I279">
        <f>重回帰の係数!$B$18*重回帰分析!C279+重回帰の係数!$B$19*重回帰分析!D279+重回帰の係数!$B$20*重回帰分析!E279+重回帰の係数!$B$21*重回帰分析!F279+重回帰の係数!$B$22*重回帰分析!G279+重回帰の係数!$B$17</f>
        <v>165.96904206442042</v>
      </c>
      <c r="J279">
        <f t="shared" si="4"/>
        <v>4.969042064420421</v>
      </c>
    </row>
    <row r="280" spans="2:10">
      <c r="B280" s="7">
        <v>43743</v>
      </c>
      <c r="C280">
        <f>IF(OR(アイスクリームの売り上げデータ!B280=1,アイスクリームの売り上げデータ!B280=7),1,0)</f>
        <v>1</v>
      </c>
      <c r="D280">
        <f>アイスクリームの売り上げデータ!C280</f>
        <v>26.1</v>
      </c>
      <c r="E280">
        <f>アイスクリームの売り上げデータ!D280</f>
        <v>30.3</v>
      </c>
      <c r="F280">
        <f>アイスクリームの売り上げデータ!E280</f>
        <v>21.5</v>
      </c>
      <c r="G280">
        <f>アイスクリームの売り上げデータ!F280</f>
        <v>0</v>
      </c>
      <c r="H280">
        <f>アイスクリームの売り上げデータ!G280</f>
        <v>236</v>
      </c>
      <c r="I280">
        <f>重回帰の係数!$B$18*重回帰分析!C280+重回帰の係数!$B$19*重回帰分析!D280+重回帰の係数!$B$20*重回帰分析!E280+重回帰の係数!$B$21*重回帰分析!F280+重回帰の係数!$B$22*重回帰分析!G280+重回帰の係数!$B$17</f>
        <v>245.11471946686663</v>
      </c>
      <c r="J280">
        <f t="shared" si="4"/>
        <v>9.1147194668666316</v>
      </c>
    </row>
    <row r="281" spans="2:10">
      <c r="B281" s="7">
        <v>43744</v>
      </c>
      <c r="C281">
        <f>IF(OR(アイスクリームの売り上げデータ!B281=1,アイスクリームの売り上げデータ!B281=7),1,0)</f>
        <v>1</v>
      </c>
      <c r="D281">
        <f>アイスクリームの売り上げデータ!C281</f>
        <v>20.5</v>
      </c>
      <c r="E281">
        <f>アイスクリームの売り上げデータ!D281</f>
        <v>23.3</v>
      </c>
      <c r="F281">
        <f>アイスクリームの売り上げデータ!E281</f>
        <v>18.7</v>
      </c>
      <c r="G281">
        <f>アイスクリームの売り上げデータ!F281</f>
        <v>5.5</v>
      </c>
      <c r="H281">
        <f>アイスクリームの売り上げデータ!G281</f>
        <v>217</v>
      </c>
      <c r="I281">
        <f>重回帰の係数!$B$18*重回帰分析!C281+重回帰の係数!$B$19*重回帰分析!D281+重回帰の係数!$B$20*重回帰分析!E281+重回帰の係数!$B$21*重回帰分析!F281+重回帰の係数!$B$22*重回帰分析!G281+重回帰の係数!$B$17</f>
        <v>219.922062373215</v>
      </c>
      <c r="J281">
        <f t="shared" si="4"/>
        <v>2.9220623732149988</v>
      </c>
    </row>
    <row r="282" spans="2:10">
      <c r="B282" s="7">
        <v>43745</v>
      </c>
      <c r="C282">
        <f>IF(OR(アイスクリームの売り上げデータ!B282=1,アイスクリームの売り上げデータ!B282=7),1,0)</f>
        <v>0</v>
      </c>
      <c r="D282">
        <f>アイスクリームの売り上げデータ!C282</f>
        <v>20</v>
      </c>
      <c r="E282">
        <f>アイスクリームの売り上げデータ!D282</f>
        <v>25</v>
      </c>
      <c r="F282">
        <f>アイスクリームの売り上げデータ!E282</f>
        <v>17.3</v>
      </c>
      <c r="G282">
        <f>アイスクリームの売り上げデータ!F282</f>
        <v>7</v>
      </c>
      <c r="H282">
        <f>アイスクリームの売り上げデータ!G282</f>
        <v>138</v>
      </c>
      <c r="I282">
        <f>重回帰の係数!$B$18*重回帰分析!C282+重回帰の係数!$B$19*重回帰分析!D282+重回帰の係数!$B$20*重回帰分析!E282+重回帰の係数!$B$21*重回帰分析!F282+重回帰の係数!$B$22*重回帰分析!G282+重回帰の係数!$B$17</f>
        <v>152.75925994743119</v>
      </c>
      <c r="J282">
        <f t="shared" si="4"/>
        <v>14.75925994743119</v>
      </c>
    </row>
    <row r="283" spans="2:10">
      <c r="B283" s="7">
        <v>43746</v>
      </c>
      <c r="C283">
        <f>IF(OR(アイスクリームの売り上げデータ!B283=1,アイスクリームの売り上げデータ!B283=7),1,0)</f>
        <v>0</v>
      </c>
      <c r="D283">
        <f>アイスクリームの売り上げデータ!C283</f>
        <v>21.7</v>
      </c>
      <c r="E283">
        <f>アイスクリームの売り上げデータ!D283</f>
        <v>27.1</v>
      </c>
      <c r="F283">
        <f>アイスクリームの売り上げデータ!E283</f>
        <v>18.2</v>
      </c>
      <c r="G283">
        <f>アイスクリームの売り上げデータ!F283</f>
        <v>5.5</v>
      </c>
      <c r="H283">
        <f>アイスクリームの売り上げデータ!G283</f>
        <v>166</v>
      </c>
      <c r="I283">
        <f>重回帰の係数!$B$18*重回帰分析!C283+重回帰の係数!$B$19*重回帰分析!D283+重回帰の係数!$B$20*重回帰分析!E283+重回帰の係数!$B$21*重回帰分析!F283+重回帰の係数!$B$22*重回帰分析!G283+重回帰の係数!$B$17</f>
        <v>160.23798631223468</v>
      </c>
      <c r="J283">
        <f t="shared" si="4"/>
        <v>5.7620136877653181</v>
      </c>
    </row>
    <row r="284" spans="2:10">
      <c r="B284" s="7">
        <v>43747</v>
      </c>
      <c r="C284">
        <f>IF(OR(アイスクリームの売り上げデータ!B284=1,アイスクリームの売り上げデータ!B284=7),1,0)</f>
        <v>0</v>
      </c>
      <c r="D284">
        <f>アイスクリームの売り上げデータ!C284</f>
        <v>20.8</v>
      </c>
      <c r="E284">
        <f>アイスクリームの売り上げデータ!D284</f>
        <v>25.1</v>
      </c>
      <c r="F284">
        <f>アイスクリームの売り上げデータ!E284</f>
        <v>17</v>
      </c>
      <c r="G284">
        <f>アイスクリームの売り上げデータ!F284</f>
        <v>0</v>
      </c>
      <c r="H284">
        <f>アイスクリームの売り上げデータ!G284</f>
        <v>196</v>
      </c>
      <c r="I284">
        <f>重回帰の係数!$B$18*重回帰分析!C284+重回帰の係数!$B$19*重回帰分析!D284+重回帰の係数!$B$20*重回帰分析!E284+重回帰の係数!$B$21*重回帰分析!F284+重回帰の係数!$B$22*重回帰分析!G284+重回帰の係数!$B$17</f>
        <v>162.2411496217548</v>
      </c>
      <c r="J284">
        <f t="shared" si="4"/>
        <v>33.758850378245199</v>
      </c>
    </row>
    <row r="285" spans="2:10">
      <c r="B285" s="7">
        <v>43748</v>
      </c>
      <c r="C285">
        <f>IF(OR(アイスクリームの売り上げデータ!B285=1,アイスクリームの売り上げデータ!B285=7),1,0)</f>
        <v>0</v>
      </c>
      <c r="D285">
        <f>アイスクリームの売り上げデータ!C285</f>
        <v>19.399999999999999</v>
      </c>
      <c r="E285">
        <f>アイスクリームの売り上げデータ!D285</f>
        <v>25.2</v>
      </c>
      <c r="F285">
        <f>アイスクリームの売り上げデータ!E285</f>
        <v>15</v>
      </c>
      <c r="G285">
        <f>アイスクリームの売り上げデータ!F285</f>
        <v>9</v>
      </c>
      <c r="H285">
        <f>アイスクリームの売り上げデータ!G285</f>
        <v>154</v>
      </c>
      <c r="I285">
        <f>重回帰の係数!$B$18*重回帰分析!C285+重回帰の係数!$B$19*重回帰分析!D285+重回帰の係数!$B$20*重回帰分析!E285+重回帰の係数!$B$21*重回帰分析!F285+重回帰の係数!$B$22*重回帰分析!G285+重回帰の係数!$B$17</f>
        <v>147.47834152206923</v>
      </c>
      <c r="J285">
        <f t="shared" si="4"/>
        <v>6.5216584779307709</v>
      </c>
    </row>
    <row r="286" spans="2:10">
      <c r="B286" s="7">
        <v>43749</v>
      </c>
      <c r="C286">
        <f>IF(OR(アイスクリームの売り上げデータ!B286=1,アイスクリームの売り上げデータ!B286=7),1,0)</f>
        <v>0</v>
      </c>
      <c r="D286">
        <f>アイスクリームの売り上げデータ!C286</f>
        <v>19.600000000000001</v>
      </c>
      <c r="E286">
        <f>アイスクリームの売り上げデータ!D286</f>
        <v>21.7</v>
      </c>
      <c r="F286">
        <f>アイスクリームの売り上げデータ!E286</f>
        <v>16.3</v>
      </c>
      <c r="G286">
        <f>アイスクリームの売り上げデータ!F286</f>
        <v>7.5</v>
      </c>
      <c r="H286">
        <f>アイスクリームの売り上げデータ!G286</f>
        <v>150</v>
      </c>
      <c r="I286">
        <f>重回帰の係数!$B$18*重回帰分析!C286+重回帰の係数!$B$19*重回帰分析!D286+重回帰の係数!$B$20*重回帰分析!E286+重回帰の係数!$B$21*重回帰分析!F286+重回帰の係数!$B$22*重回帰分析!G286+重回帰の係数!$B$17</f>
        <v>148.29807666015856</v>
      </c>
      <c r="J286">
        <f t="shared" si="4"/>
        <v>1.7019233398414428</v>
      </c>
    </row>
    <row r="287" spans="2:10">
      <c r="B287" s="7">
        <v>43750</v>
      </c>
      <c r="C287">
        <f>IF(OR(アイスクリームの売り上げデータ!B287=1,アイスクリームの売り上げデータ!B287=7),1,0)</f>
        <v>1</v>
      </c>
      <c r="D287">
        <f>アイスクリームの売り上げデータ!C287</f>
        <v>23.3</v>
      </c>
      <c r="E287">
        <f>アイスクリームの売り上げデータ!D287</f>
        <v>25.2</v>
      </c>
      <c r="F287">
        <f>アイスクリームの売り上げデータ!E287</f>
        <v>20.7</v>
      </c>
      <c r="G287">
        <f>アイスクリームの売り上げデータ!F287</f>
        <v>209.5</v>
      </c>
      <c r="H287">
        <f>アイスクリームの売り上げデータ!G287</f>
        <v>0</v>
      </c>
      <c r="I287">
        <f>重回帰の係数!$B$18*重回帰分析!C287+重回帰の係数!$B$19*重回帰分析!D287+重回帰の係数!$B$20*重回帰分析!E287+重回帰の係数!$B$21*重回帰分析!F287+重回帰の係数!$B$22*重回帰分析!G287+重回帰の係数!$B$17</f>
        <v>-2.9079804811663195</v>
      </c>
      <c r="J287">
        <f t="shared" si="4"/>
        <v>2.9079804811663195</v>
      </c>
    </row>
    <row r="288" spans="2:10">
      <c r="B288" s="7">
        <v>43751</v>
      </c>
      <c r="C288">
        <f>IF(OR(アイスクリームの売り上げデータ!B288=1,アイスクリームの売り上げデータ!B288=7),1,0)</f>
        <v>1</v>
      </c>
      <c r="D288">
        <f>アイスクリームの売り上げデータ!C288</f>
        <v>24.5</v>
      </c>
      <c r="E288">
        <f>アイスクリームの売り上げデータ!D288</f>
        <v>28.5</v>
      </c>
      <c r="F288">
        <f>アイスクリームの売り上げデータ!E288</f>
        <v>19.399999999999999</v>
      </c>
      <c r="G288">
        <f>アイスクリームの売り上げデータ!F288</f>
        <v>0</v>
      </c>
      <c r="H288">
        <f>アイスクリームの売り上げデータ!G288</f>
        <v>249</v>
      </c>
      <c r="I288">
        <f>重回帰の係数!$B$18*重回帰分析!C288+重回帰の係数!$B$19*重回帰分析!D288+重回帰の係数!$B$20*重回帰分析!E288+重回帰の係数!$B$21*重回帰分析!F288+重回帰の係数!$B$22*重回帰分析!G288+重回帰の係数!$B$17</f>
        <v>238.78304449477764</v>
      </c>
      <c r="J288">
        <f t="shared" si="4"/>
        <v>10.216955505222359</v>
      </c>
    </row>
    <row r="289" spans="2:10">
      <c r="B289" s="7">
        <v>43752</v>
      </c>
      <c r="C289">
        <f>IF(OR(アイスクリームの売り上げデータ!B289=1,アイスクリームの売り上げデータ!B289=7),1,0)</f>
        <v>0</v>
      </c>
      <c r="D289">
        <f>アイスクリームの売り上げデータ!C289</f>
        <v>17</v>
      </c>
      <c r="E289">
        <f>アイスクリームの売り上げデータ!D289</f>
        <v>20.2</v>
      </c>
      <c r="F289">
        <f>アイスクリームの売り上げデータ!E289</f>
        <v>15.4</v>
      </c>
      <c r="G289">
        <f>アイスクリームの売り上げデータ!F289</f>
        <v>5</v>
      </c>
      <c r="H289">
        <f>アイスクリームの売り上げデータ!G289</f>
        <v>124</v>
      </c>
      <c r="I289">
        <f>重回帰の係数!$B$18*重回帰分析!C289+重回帰の係数!$B$19*重回帰分析!D289+重回帰の係数!$B$20*重回帰分析!E289+重回帰の係数!$B$21*重回帰分析!F289+重回帰の係数!$B$22*重回帰分析!G289+重回帰の係数!$B$17</f>
        <v>143.84790880952457</v>
      </c>
      <c r="J289">
        <f t="shared" si="4"/>
        <v>19.847908809524569</v>
      </c>
    </row>
    <row r="290" spans="2:10">
      <c r="B290" s="7">
        <v>43753</v>
      </c>
      <c r="C290">
        <f>IF(OR(アイスクリームの売り上げデータ!B290=1,アイスクリームの売り上げデータ!B290=7),1,0)</f>
        <v>0</v>
      </c>
      <c r="D290">
        <f>アイスクリームの売り上げデータ!C290</f>
        <v>18.399999999999999</v>
      </c>
      <c r="E290">
        <f>アイスクリームの売り上げデータ!D290</f>
        <v>23</v>
      </c>
      <c r="F290">
        <f>アイスクリームの売り上げデータ!E290</f>
        <v>16.2</v>
      </c>
      <c r="G290">
        <f>アイスクリームの売り上げデータ!F290</f>
        <v>0</v>
      </c>
      <c r="H290">
        <f>アイスクリームの売り上げデータ!G290</f>
        <v>146</v>
      </c>
      <c r="I290">
        <f>重回帰の係数!$B$18*重回帰分析!C290+重回帰の係数!$B$19*重回帰分析!D290+重回帰の係数!$B$20*重回帰分析!E290+重回帰の係数!$B$21*重回帰分析!F290+重回帰の係数!$B$22*重回帰分析!G290+重回帰の係数!$B$17</f>
        <v>155.05382791123998</v>
      </c>
      <c r="J290">
        <f t="shared" si="4"/>
        <v>9.0538279112399778</v>
      </c>
    </row>
    <row r="291" spans="2:10">
      <c r="B291" s="7">
        <v>43754</v>
      </c>
      <c r="C291">
        <f>IF(OR(アイスクリームの売り上げデータ!B291=1,アイスクリームの売り上げデータ!B291=7),1,0)</f>
        <v>0</v>
      </c>
      <c r="D291">
        <f>アイスクリームの売り上げデータ!C291</f>
        <v>16.100000000000001</v>
      </c>
      <c r="E291">
        <f>アイスクリームの売り上げデータ!D291</f>
        <v>18.5</v>
      </c>
      <c r="F291">
        <f>アイスクリームの売り上げデータ!E291</f>
        <v>14.6</v>
      </c>
      <c r="G291">
        <f>アイスクリームの売り上げデータ!F291</f>
        <v>0</v>
      </c>
      <c r="H291">
        <f>アイスクリームの売り上げデータ!G291</f>
        <v>170</v>
      </c>
      <c r="I291">
        <f>重回帰の係数!$B$18*重回帰分析!C291+重回帰の係数!$B$19*重回帰分析!D291+重回帰の係数!$B$20*重回帰分析!E291+重回帰の係数!$B$21*重回帰分析!F291+重回帰の係数!$B$22*重回帰分析!G291+重回帰の係数!$B$17</f>
        <v>145.81005688821648</v>
      </c>
      <c r="J291">
        <f t="shared" si="4"/>
        <v>24.189943111783521</v>
      </c>
    </row>
    <row r="292" spans="2:10">
      <c r="B292" s="7">
        <v>43755</v>
      </c>
      <c r="C292">
        <f>IF(OR(アイスクリームの売り上げデータ!B292=1,アイスクリームの売り上げデータ!B292=7),1,0)</f>
        <v>0</v>
      </c>
      <c r="D292">
        <f>アイスクリームの売り上げデータ!C292</f>
        <v>16.2</v>
      </c>
      <c r="E292">
        <f>アイスクリームの売り上げデータ!D292</f>
        <v>18.399999999999999</v>
      </c>
      <c r="F292">
        <f>アイスクリームの売り上げデータ!E292</f>
        <v>15.1</v>
      </c>
      <c r="G292">
        <f>アイスクリームの売り上げデータ!F292</f>
        <v>4.5</v>
      </c>
      <c r="H292">
        <f>アイスクリームの売り上げデータ!G292</f>
        <v>147</v>
      </c>
      <c r="I292">
        <f>重回帰の係数!$B$18*重回帰分析!C292+重回帰の係数!$B$19*重回帰分析!D292+重回帰の係数!$B$20*重回帰分析!E292+重回帰の係数!$B$21*重回帰分析!F292+重回帰の係数!$B$22*重回帰分析!G292+重回帰の係数!$B$17</f>
        <v>141.24991935220891</v>
      </c>
      <c r="J292">
        <f t="shared" si="4"/>
        <v>5.7500806477910942</v>
      </c>
    </row>
    <row r="293" spans="2:10">
      <c r="B293" s="7">
        <v>43756</v>
      </c>
      <c r="C293">
        <f>IF(OR(アイスクリームの売り上げデータ!B293=1,アイスクリームの売り上げデータ!B293=7),1,0)</f>
        <v>0</v>
      </c>
      <c r="D293">
        <f>アイスクリームの売り上げデータ!C293</f>
        <v>16.5</v>
      </c>
      <c r="E293">
        <f>アイスクリームの売り上げデータ!D293</f>
        <v>19.5</v>
      </c>
      <c r="F293">
        <f>アイスクリームの売り上げデータ!E293</f>
        <v>14.9</v>
      </c>
      <c r="G293">
        <f>アイスクリームの売り上げデータ!F293</f>
        <v>5.5</v>
      </c>
      <c r="H293">
        <f>アイスクリームの売り上げデータ!G293</f>
        <v>135</v>
      </c>
      <c r="I293">
        <f>重回帰の係数!$B$18*重回帰分析!C293+重回帰の係数!$B$19*重回帰分析!D293+重回帰の係数!$B$20*重回帰分析!E293+重回帰の係数!$B$21*重回帰分析!F293+重回帰の係数!$B$22*重回帰分析!G293+重回帰の係数!$B$17</f>
        <v>141.33511208178226</v>
      </c>
      <c r="J293">
        <f t="shared" si="4"/>
        <v>6.3351120817822562</v>
      </c>
    </row>
    <row r="294" spans="2:10">
      <c r="B294" s="7">
        <v>43757</v>
      </c>
      <c r="C294">
        <f>IF(OR(アイスクリームの売り上げデータ!B294=1,アイスクリームの売り上げデータ!B294=7),1,0)</f>
        <v>1</v>
      </c>
      <c r="D294">
        <f>アイスクリームの売り上げデータ!C294</f>
        <v>17.399999999999999</v>
      </c>
      <c r="E294">
        <f>アイスクリームの売り上げデータ!D294</f>
        <v>20.2</v>
      </c>
      <c r="F294">
        <f>アイスクリームの売り上げデータ!E294</f>
        <v>14.6</v>
      </c>
      <c r="G294">
        <f>アイスクリームの売り上げデータ!F294</f>
        <v>53.5</v>
      </c>
      <c r="H294">
        <f>アイスクリームの売り上げデータ!G294</f>
        <v>123</v>
      </c>
      <c r="I294">
        <f>重回帰の係数!$B$18*重回帰分析!C294+重回帰の係数!$B$19*重回帰分析!D294+重回帰の係数!$B$20*重回帰分析!E294+重回帰の係数!$B$21*重回帰分析!F294+重回帰の係数!$B$22*重回帰分析!G294+重回帰の係数!$B$17</f>
        <v>153.37128526760057</v>
      </c>
      <c r="J294">
        <f t="shared" si="4"/>
        <v>30.37128526760057</v>
      </c>
    </row>
    <row r="295" spans="2:10">
      <c r="B295" s="7">
        <v>43758</v>
      </c>
      <c r="C295">
        <f>IF(OR(アイスクリームの売り上げデータ!B295=1,アイスクリームの売り上げデータ!B295=7),1,0)</f>
        <v>1</v>
      </c>
      <c r="D295">
        <f>アイスクリームの売り上げデータ!C295</f>
        <v>20.100000000000001</v>
      </c>
      <c r="E295">
        <f>アイスクリームの売り上げデータ!D295</f>
        <v>23.9</v>
      </c>
      <c r="F295">
        <f>アイスクリームの売り上げデータ!E295</f>
        <v>17.7</v>
      </c>
      <c r="G295">
        <f>アイスクリームの売り上げデータ!F295</f>
        <v>0</v>
      </c>
      <c r="H295">
        <f>アイスクリームの売り上げデータ!G295</f>
        <v>252</v>
      </c>
      <c r="I295">
        <f>重回帰の係数!$B$18*重回帰分析!C295+重回帰の係数!$B$19*重回帰分析!D295+重回帰の係数!$B$20*重回帰分析!E295+重回帰の係数!$B$21*重回帰分析!F295+重回帰の係数!$B$22*重回帰分析!G295+重回帰の係数!$B$17</f>
        <v>224.9104880207891</v>
      </c>
      <c r="J295">
        <f t="shared" si="4"/>
        <v>27.089511979210897</v>
      </c>
    </row>
    <row r="296" spans="2:10">
      <c r="B296" s="7">
        <v>43759</v>
      </c>
      <c r="C296">
        <f>IF(OR(アイスクリームの売り上げデータ!B296=1,アイスクリームの売り上げデータ!B296=7),1,0)</f>
        <v>0</v>
      </c>
      <c r="D296">
        <f>アイスクリームの売り上げデータ!C296</f>
        <v>18.2</v>
      </c>
      <c r="E296">
        <f>アイスクリームの売り上げデータ!D296</f>
        <v>21.3</v>
      </c>
      <c r="F296">
        <f>アイスクリームの売り上げデータ!E296</f>
        <v>14.9</v>
      </c>
      <c r="G296">
        <f>アイスクリームの売り上げデータ!F296</f>
        <v>6.5</v>
      </c>
      <c r="H296">
        <f>アイスクリームの売り上げデータ!G296</f>
        <v>115</v>
      </c>
      <c r="I296">
        <f>重回帰の係数!$B$18*重回帰分析!C296+重回帰の係数!$B$19*重回帰分析!D296+重回帰の係数!$B$20*重回帰分析!E296+重回帰の係数!$B$21*重回帰分析!F296+重回帰の係数!$B$22*重回帰分析!G296+重回帰の係数!$B$17</f>
        <v>145.04208939641879</v>
      </c>
      <c r="J296">
        <f t="shared" si="4"/>
        <v>30.042089396418788</v>
      </c>
    </row>
    <row r="297" spans="2:10">
      <c r="B297" s="7">
        <v>43760</v>
      </c>
      <c r="C297">
        <f>IF(OR(アイスクリームの売り上げデータ!B297=1,アイスクリームの売り上げデータ!B297=7),1,0)</f>
        <v>0</v>
      </c>
      <c r="D297">
        <f>アイスクリームの売り上げデータ!C297</f>
        <v>15.4</v>
      </c>
      <c r="E297">
        <f>アイスクリームの売り上げデータ!D297</f>
        <v>17.2</v>
      </c>
      <c r="F297">
        <f>アイスクリームの売り上げデータ!E297</f>
        <v>14.2</v>
      </c>
      <c r="G297">
        <f>アイスクリームの売り上げデータ!F297</f>
        <v>65</v>
      </c>
      <c r="H297">
        <f>アイスクリームの売り上げデータ!G297</f>
        <v>84</v>
      </c>
      <c r="I297">
        <f>重回帰の係数!$B$18*重回帰分析!C297+重回帰の係数!$B$19*重回帰分析!D297+重回帰の係数!$B$20*重回帰分析!E297+重回帰の係数!$B$21*重回帰分析!F297+重回帰の係数!$B$22*重回帰分析!G297+重回帰の係数!$B$17</f>
        <v>69.285585953752943</v>
      </c>
      <c r="J297">
        <f t="shared" si="4"/>
        <v>14.714414046247057</v>
      </c>
    </row>
    <row r="298" spans="2:10">
      <c r="B298" s="7">
        <v>43761</v>
      </c>
      <c r="C298">
        <f>IF(OR(アイスクリームの売り上げデータ!B298=1,アイスクリームの売り上げデータ!B298=7),1,0)</f>
        <v>0</v>
      </c>
      <c r="D298">
        <f>アイスクリームの売り上げデータ!C298</f>
        <v>18.5</v>
      </c>
      <c r="E298">
        <f>アイスクリームの売り上げデータ!D298</f>
        <v>24.8</v>
      </c>
      <c r="F298">
        <f>アイスクリームの売り上げデータ!E298</f>
        <v>12.4</v>
      </c>
      <c r="G298">
        <f>アイスクリームの売り上げデータ!F298</f>
        <v>0</v>
      </c>
      <c r="H298">
        <f>アイスクリームの売り上げデータ!G298</f>
        <v>184</v>
      </c>
      <c r="I298">
        <f>重回帰の係数!$B$18*重回帰分析!C298+重回帰の係数!$B$19*重回帰分析!D298+重回帰の係数!$B$20*重回帰分析!E298+重回帰の係数!$B$21*重回帰分析!F298+重回帰の係数!$B$22*重回帰分析!G298+重回帰の係数!$B$17</f>
        <v>153.40296870053317</v>
      </c>
      <c r="J298">
        <f t="shared" si="4"/>
        <v>30.597031299466835</v>
      </c>
    </row>
    <row r="299" spans="2:10">
      <c r="B299" s="7">
        <v>43762</v>
      </c>
      <c r="C299">
        <f>IF(OR(アイスクリームの売り上げデータ!B299=1,アイスクリームの売り上げデータ!B299=7),1,0)</f>
        <v>0</v>
      </c>
      <c r="D299">
        <f>アイスクリームの売り上げデータ!C299</f>
        <v>18.100000000000001</v>
      </c>
      <c r="E299">
        <f>アイスクリームの売り上げデータ!D299</f>
        <v>21</v>
      </c>
      <c r="F299">
        <f>アイスクリームの売り上げデータ!E299</f>
        <v>14.6</v>
      </c>
      <c r="G299">
        <f>アイスクリームの売り上げデータ!F299</f>
        <v>3</v>
      </c>
      <c r="H299">
        <f>アイスクリームの売り上げデータ!G299</f>
        <v>139</v>
      </c>
      <c r="I299">
        <f>重回帰の係数!$B$18*重回帰分析!C299+重回帰の係数!$B$19*重回帰分析!D299+重回帰の係数!$B$20*重回帰分析!E299+重回帰の係数!$B$21*重回帰分析!F299+重回帰の係数!$B$22*重回帰分析!G299+重回帰の係数!$B$17</f>
        <v>148.35829610835</v>
      </c>
      <c r="J299">
        <f t="shared" si="4"/>
        <v>9.3582961083500038</v>
      </c>
    </row>
    <row r="300" spans="2:10">
      <c r="B300" s="7">
        <v>43763</v>
      </c>
      <c r="C300">
        <f>IF(OR(アイスクリームの売り上げデータ!B300=1,アイスクリームの売り上げデータ!B300=7),1,0)</f>
        <v>0</v>
      </c>
      <c r="D300">
        <f>アイスクリームの売り上げデータ!C300</f>
        <v>15.1</v>
      </c>
      <c r="E300">
        <f>アイスクリームの売り上げデータ!D300</f>
        <v>16.3</v>
      </c>
      <c r="F300">
        <f>アイスクリームの売り上げデータ!E300</f>
        <v>14.5</v>
      </c>
      <c r="G300">
        <f>アイスクリームの売り上げデータ!F300</f>
        <v>120.5</v>
      </c>
      <c r="H300">
        <f>アイスクリームの売り上げデータ!G300</f>
        <v>7</v>
      </c>
      <c r="I300">
        <f>重回帰の係数!$B$18*重回帰分析!C300+重回帰の係数!$B$19*重回帰分析!D300+重回帰の係数!$B$20*重回帰分析!E300+重回帰の係数!$B$21*重回帰分析!F300+重回帰の係数!$B$22*重回帰分析!G300+重回帰の係数!$B$17</f>
        <v>5.242445409177904</v>
      </c>
      <c r="J300">
        <f t="shared" si="4"/>
        <v>1.757554590822096</v>
      </c>
    </row>
    <row r="301" spans="2:10">
      <c r="B301" s="7">
        <v>43764</v>
      </c>
      <c r="C301">
        <f>IF(OR(アイスクリームの売り上げデータ!B301=1,アイスクリームの売り上げデータ!B301=7),1,0)</f>
        <v>1</v>
      </c>
      <c r="D301">
        <f>アイスクリームの売り上げデータ!C301</f>
        <v>18.100000000000001</v>
      </c>
      <c r="E301">
        <f>アイスクリームの売り上げデータ!D301</f>
        <v>24.5</v>
      </c>
      <c r="F301">
        <f>アイスクリームの売り上げデータ!E301</f>
        <v>13.3</v>
      </c>
      <c r="G301">
        <f>アイスクリームの売り上げデータ!F301</f>
        <v>0.5</v>
      </c>
      <c r="H301">
        <f>アイスクリームの売り上げデータ!G301</f>
        <v>206</v>
      </c>
      <c r="I301">
        <f>重回帰の係数!$B$18*重回帰分析!C301+重回帰の係数!$B$19*重回帰分析!D301+重回帰の係数!$B$20*重回帰分析!E301+重回帰の係数!$B$21*重回帰分析!F301+重回帰の係数!$B$22*重回帰分析!G301+重回帰の係数!$B$17</f>
        <v>216.91453293154933</v>
      </c>
      <c r="J301">
        <f t="shared" si="4"/>
        <v>10.914532931549331</v>
      </c>
    </row>
    <row r="302" spans="2:10">
      <c r="B302" s="7">
        <v>43765</v>
      </c>
      <c r="C302">
        <f>IF(OR(アイスクリームの売り上げデータ!B302=1,アイスクリームの売り上げデータ!B302=7),1,0)</f>
        <v>1</v>
      </c>
      <c r="D302">
        <f>アイスクリームの売り上げデータ!C302</f>
        <v>18.3</v>
      </c>
      <c r="E302">
        <f>アイスクリームの売り上げデータ!D302</f>
        <v>22.5</v>
      </c>
      <c r="F302">
        <f>アイスクリームの売り上げデータ!E302</f>
        <v>15.8</v>
      </c>
      <c r="G302">
        <f>アイスクリームの売り上げデータ!F302</f>
        <v>0</v>
      </c>
      <c r="H302">
        <f>アイスクリームの売り上げデータ!G302</f>
        <v>249</v>
      </c>
      <c r="I302">
        <f>重回帰の係数!$B$18*重回帰分析!C302+重回帰の係数!$B$19*重回帰分析!D302+重回帰の係数!$B$20*重回帰分析!E302+重回帰の係数!$B$21*重回帰分析!F302+重回帰の係数!$B$22*重回帰分析!G302+重回帰の係数!$B$17</f>
        <v>218.5844669923394</v>
      </c>
      <c r="J302">
        <f t="shared" si="4"/>
        <v>30.415533007660599</v>
      </c>
    </row>
    <row r="303" spans="2:10">
      <c r="B303" s="7">
        <v>43766</v>
      </c>
      <c r="C303">
        <f>IF(OR(アイスクリームの売り上げデータ!B303=1,アイスクリームの売り上げデータ!B303=7),1,0)</f>
        <v>0</v>
      </c>
      <c r="D303">
        <f>アイスクリームの売り上げデータ!C303</f>
        <v>17.399999999999999</v>
      </c>
      <c r="E303">
        <f>アイスクリームの売り上げデータ!D303</f>
        <v>21.4</v>
      </c>
      <c r="F303">
        <f>アイスクリームの売り上げデータ!E303</f>
        <v>15</v>
      </c>
      <c r="G303">
        <f>アイスクリームの売り上げデータ!F303</f>
        <v>0</v>
      </c>
      <c r="H303">
        <f>アイスクリームの売り上げデータ!G303</f>
        <v>132</v>
      </c>
      <c r="I303">
        <f>重回帰の係数!$B$18*重回帰分析!C303+重回帰の係数!$B$19*重回帰分析!D303+重回帰の係数!$B$20*重回帰分析!E303+重回帰の係数!$B$21*重回帰分析!F303+重回帰の係数!$B$22*重回帰分析!G303+重回帰の係数!$B$17</f>
        <v>150.86683319849027</v>
      </c>
      <c r="J303">
        <f t="shared" si="4"/>
        <v>18.866833198490269</v>
      </c>
    </row>
    <row r="304" spans="2:10">
      <c r="B304" s="7">
        <v>43767</v>
      </c>
      <c r="C304">
        <f>IF(OR(アイスクリームの売り上げデータ!B304=1,アイスクリームの売り上げデータ!B304=7),1,0)</f>
        <v>0</v>
      </c>
      <c r="D304">
        <f>アイスクリームの売り上げデータ!C304</f>
        <v>14.5</v>
      </c>
      <c r="E304">
        <f>アイスクリームの売り上げデータ!D304</f>
        <v>16.3</v>
      </c>
      <c r="F304">
        <f>アイスクリームの売り上げデータ!E304</f>
        <v>12.6</v>
      </c>
      <c r="G304">
        <f>アイスクリームの売り上げデータ!F304</f>
        <v>11.5</v>
      </c>
      <c r="H304">
        <f>アイスクリームの売り上げデータ!G304</f>
        <v>116</v>
      </c>
      <c r="I304">
        <f>重回帰の係数!$B$18*重回帰分析!C304+重回帰の係数!$B$19*重回帰分析!D304+重回帰の係数!$B$20*重回帰分析!E304+重回帰の係数!$B$21*重回帰分析!F304+重回帰の係数!$B$22*重回帰分析!G304+重回帰の係数!$B$17</f>
        <v>126.22723006574154</v>
      </c>
      <c r="J304">
        <f t="shared" si="4"/>
        <v>10.227230065741537</v>
      </c>
    </row>
    <row r="305" spans="2:10">
      <c r="B305" s="7">
        <v>43768</v>
      </c>
      <c r="C305">
        <f>IF(OR(アイスクリームの売り上げデータ!B305=1,アイスクリームの売り上げデータ!B305=7),1,0)</f>
        <v>0</v>
      </c>
      <c r="D305">
        <f>アイスクリームの売り上げデータ!C305</f>
        <v>16.5</v>
      </c>
      <c r="E305">
        <f>アイスクリームの売り上げデータ!D305</f>
        <v>22.7</v>
      </c>
      <c r="F305">
        <f>アイスクリームの売り上げデータ!E305</f>
        <v>12.1</v>
      </c>
      <c r="G305">
        <f>アイスクリームの売り上げデータ!F305</f>
        <v>0</v>
      </c>
      <c r="H305">
        <f>アイスクリームの売り上げデータ!G305</f>
        <v>182</v>
      </c>
      <c r="I305">
        <f>重回帰の係数!$B$18*重回帰分析!C305+重回帰の係数!$B$19*重回帰分析!D305+重回帰の係数!$B$20*重回帰分析!E305+重回帰の係数!$B$21*重回帰分析!F305+重回帰の係数!$B$22*重回帰分析!G305+重回帰の係数!$B$17</f>
        <v>147.47430221813795</v>
      </c>
      <c r="J305">
        <f t="shared" si="4"/>
        <v>34.52569778186205</v>
      </c>
    </row>
    <row r="306" spans="2:10">
      <c r="B306" s="7">
        <v>43769</v>
      </c>
      <c r="C306">
        <f>IF(OR(アイスクリームの売り上げデータ!B306=1,アイスクリームの売り上げデータ!B306=7),1,0)</f>
        <v>0</v>
      </c>
      <c r="D306">
        <f>アイスクリームの売り上げデータ!C306</f>
        <v>16.8</v>
      </c>
      <c r="E306">
        <f>アイスクリームの売り上げデータ!D306</f>
        <v>22</v>
      </c>
      <c r="F306">
        <f>アイスクリームの売り上げデータ!E306</f>
        <v>14</v>
      </c>
      <c r="G306">
        <f>アイスクリームの売り上げデータ!F306</f>
        <v>0</v>
      </c>
      <c r="H306">
        <f>アイスクリームの売り上げデータ!G306</f>
        <v>146</v>
      </c>
      <c r="I306">
        <f>重回帰の係数!$B$18*重回帰分析!C306+重回帰の係数!$B$19*重回帰分析!D306+重回帰の係数!$B$20*重回帰分析!E306+重回帰の係数!$B$21*重回帰分析!F306+重回帰の係数!$B$22*重回帰分析!G306+重回帰の係数!$B$17</f>
        <v>149.1815378986866</v>
      </c>
      <c r="J306">
        <f t="shared" si="4"/>
        <v>3.1815378986865994</v>
      </c>
    </row>
    <row r="307" spans="2:10">
      <c r="B307" s="7">
        <v>43770</v>
      </c>
      <c r="C307">
        <f>IF(OR(アイスクリームの売り上げデータ!B307=1,アイスクリームの売り上げデータ!B307=7),1,0)</f>
        <v>0</v>
      </c>
      <c r="D307">
        <f>アイスクリームの売り上げデータ!C307</f>
        <v>17.399999999999999</v>
      </c>
      <c r="E307">
        <f>アイスクリームの売り上げデータ!D307</f>
        <v>23.9</v>
      </c>
      <c r="F307">
        <f>アイスクリームの売り上げデータ!E307</f>
        <v>12.2</v>
      </c>
      <c r="G307">
        <f>アイスクリームの売り上げデータ!F307</f>
        <v>0</v>
      </c>
      <c r="H307">
        <f>アイスクリームの売り上げデータ!G307</f>
        <v>153</v>
      </c>
      <c r="I307">
        <f>重回帰の係数!$B$18*重回帰分析!C307+重回帰の係数!$B$19*重回帰分析!D307+重回帰の係数!$B$20*重回帰分析!E307+重回帰の係数!$B$21*重回帰分析!F307+重回帰の係数!$B$22*重回帰分析!G307+重回帰の係数!$B$17</f>
        <v>150.28609803433071</v>
      </c>
      <c r="J307">
        <f t="shared" si="4"/>
        <v>2.7139019656692938</v>
      </c>
    </row>
    <row r="308" spans="2:10">
      <c r="B308" s="7">
        <v>43771</v>
      </c>
      <c r="C308">
        <f>IF(OR(アイスクリームの売り上げデータ!B308=1,アイスクリームの売り上げデータ!B308=7),1,0)</f>
        <v>1</v>
      </c>
      <c r="D308">
        <f>アイスクリームの売り上げデータ!C308</f>
        <v>15.7</v>
      </c>
      <c r="E308">
        <f>アイスクリームの売り上げデータ!D308</f>
        <v>19.899999999999999</v>
      </c>
      <c r="F308">
        <f>アイスクリームの売り上げデータ!E308</f>
        <v>10.9</v>
      </c>
      <c r="G308">
        <f>アイスクリームの売り上げデータ!F308</f>
        <v>0</v>
      </c>
      <c r="H308">
        <f>アイスクリームの売り上げデータ!G308</f>
        <v>198</v>
      </c>
      <c r="I308">
        <f>重回帰の係数!$B$18*重回帰分析!C308+重回帰の係数!$B$19*重回帰分析!D308+重回帰の係数!$B$20*重回帰分析!E308+重回帰の係数!$B$21*重回帰分析!F308+重回帰の係数!$B$22*重回帰分析!G308+重回帰の係数!$B$17</f>
        <v>207.3093150332424</v>
      </c>
      <c r="J308">
        <f t="shared" si="4"/>
        <v>9.3093150332423988</v>
      </c>
    </row>
    <row r="309" spans="2:10">
      <c r="B309" s="7">
        <v>43772</v>
      </c>
      <c r="C309">
        <f>IF(OR(アイスクリームの売り上げデータ!B309=1,アイスクリームの売り上げデータ!B309=7),1,0)</f>
        <v>1</v>
      </c>
      <c r="D309">
        <f>アイスクリームの売り上げデータ!C309</f>
        <v>15.8</v>
      </c>
      <c r="E309">
        <f>アイスクリームの売り上げデータ!D309</f>
        <v>18.899999999999999</v>
      </c>
      <c r="F309">
        <f>アイスクリームの売り上げデータ!E309</f>
        <v>12.7</v>
      </c>
      <c r="G309">
        <f>アイスクリームの売り上げデータ!F309</f>
        <v>10.5</v>
      </c>
      <c r="H309">
        <f>アイスクリームの売り上げデータ!G309</f>
        <v>213</v>
      </c>
      <c r="I309">
        <f>重回帰の係数!$B$18*重回帰分析!C309+重回帰の係数!$B$19*重回帰分析!D309+重回帰の係数!$B$20*重回帰分析!E309+重回帰の係数!$B$21*重回帰分析!F309+重回帰の係数!$B$22*重回帰分析!G309+重回帰の係数!$B$17</f>
        <v>196.37998057171654</v>
      </c>
      <c r="J309">
        <f t="shared" si="4"/>
        <v>16.620019428283456</v>
      </c>
    </row>
    <row r="310" spans="2:10">
      <c r="B310" s="7">
        <v>43773</v>
      </c>
      <c r="C310">
        <f>IF(OR(アイスクリームの売り上げデータ!B310=1,アイスクリームの売り上げデータ!B310=7),1,0)</f>
        <v>0</v>
      </c>
      <c r="D310">
        <f>アイスクリームの売り上げデータ!C310</f>
        <v>14.6</v>
      </c>
      <c r="E310">
        <f>アイスクリームの売り上げデータ!D310</f>
        <v>20.2</v>
      </c>
      <c r="F310">
        <f>アイスクリームの売り上げデータ!E310</f>
        <v>11</v>
      </c>
      <c r="G310">
        <f>アイスクリームの売り上げデータ!F310</f>
        <v>1</v>
      </c>
      <c r="H310">
        <f>アイスクリームの売り上げデータ!G310</f>
        <v>115</v>
      </c>
      <c r="I310">
        <f>重回帰の係数!$B$18*重回帰分析!C310+重回帰の係数!$B$19*重回帰分析!D310+重回帰の係数!$B$20*重回帰分析!E310+重回帰の係数!$B$21*重回帰分析!F310+重回帰の係数!$B$22*重回帰分析!G310+重回帰の係数!$B$17</f>
        <v>139.70446829335083</v>
      </c>
      <c r="J310">
        <f t="shared" si="4"/>
        <v>24.704468293350828</v>
      </c>
    </row>
    <row r="311" spans="2:10">
      <c r="B311" s="7">
        <v>43774</v>
      </c>
      <c r="C311">
        <f>IF(OR(アイスクリームの売り上げデータ!B311=1,アイスクリームの売り上げデータ!B311=7),1,0)</f>
        <v>0</v>
      </c>
      <c r="D311">
        <f>アイスクリームの売り上げデータ!C311</f>
        <v>13.7</v>
      </c>
      <c r="E311">
        <f>アイスクリームの売り上げデータ!D311</f>
        <v>19.2</v>
      </c>
      <c r="F311">
        <f>アイスクリームの売り上げデータ!E311</f>
        <v>9</v>
      </c>
      <c r="G311">
        <f>アイスクリームの売り上げデータ!F311</f>
        <v>0</v>
      </c>
      <c r="H311">
        <f>アイスクリームの売り上げデータ!G311</f>
        <v>128</v>
      </c>
      <c r="I311">
        <f>重回帰の係数!$B$18*重回帰分析!C311+重回帰の係数!$B$19*重回帰分析!D311+重回帰の係数!$B$20*重回帰分析!E311+重回帰の係数!$B$21*重回帰分析!F311+重回帰の係数!$B$22*重回帰分析!G311+重回帰の係数!$B$17</f>
        <v>136.62350974248744</v>
      </c>
      <c r="J311">
        <f t="shared" si="4"/>
        <v>8.6235097424874425</v>
      </c>
    </row>
    <row r="312" spans="2:10">
      <c r="B312" s="7">
        <v>43775</v>
      </c>
      <c r="C312">
        <f>IF(OR(アイスクリームの売り上げデータ!B312=1,アイスクリームの売り上げデータ!B312=7),1,0)</f>
        <v>0</v>
      </c>
      <c r="D312">
        <f>アイスクリームの売り上げデータ!C312</f>
        <v>14.3</v>
      </c>
      <c r="E312">
        <f>アイスクリームの売り上げデータ!D312</f>
        <v>21.2</v>
      </c>
      <c r="F312">
        <f>アイスクリームの売り上げデータ!E312</f>
        <v>8.8000000000000007</v>
      </c>
      <c r="G312">
        <f>アイスクリームの売り上げデータ!F312</f>
        <v>0</v>
      </c>
      <c r="H312">
        <f>アイスクリームの売り上げデータ!G312</f>
        <v>160</v>
      </c>
      <c r="I312">
        <f>重回帰の係数!$B$18*重回帰分析!C312+重回帰の係数!$B$19*重回帰分析!D312+重回帰の係数!$B$20*重回帰分析!E312+重回帰の係数!$B$21*重回帰分析!F312+重回帰の係数!$B$22*重回帰分析!G312+重回帰の係数!$B$17</f>
        <v>139.09255027440207</v>
      </c>
      <c r="J312">
        <f t="shared" si="4"/>
        <v>20.907449725597928</v>
      </c>
    </row>
    <row r="313" spans="2:10">
      <c r="B313" s="7">
        <v>43776</v>
      </c>
      <c r="C313">
        <f>IF(OR(アイスクリームの売り上げデータ!B313=1,アイスクリームの売り上げデータ!B313=7),1,0)</f>
        <v>0</v>
      </c>
      <c r="D313">
        <f>アイスクリームの売り上げデータ!C313</f>
        <v>16</v>
      </c>
      <c r="E313">
        <f>アイスクリームの売り上げデータ!D313</f>
        <v>22.6</v>
      </c>
      <c r="F313">
        <f>アイスクリームの売り上げデータ!E313</f>
        <v>9.8000000000000007</v>
      </c>
      <c r="G313">
        <f>アイスクリームの売り上げデータ!F313</f>
        <v>0</v>
      </c>
      <c r="H313">
        <f>アイスクリームの売り上げデータ!G313</f>
        <v>136</v>
      </c>
      <c r="I313">
        <f>重回帰の係数!$B$18*重回帰分析!C313+重回帰の係数!$B$19*重回帰分析!D313+重回帰の係数!$B$20*重回帰分析!E313+重回帰の係数!$B$21*重回帰分析!F313+重回帰の係数!$B$22*重回帰分析!G313+重回帰の係数!$B$17</f>
        <v>144.47570942502827</v>
      </c>
      <c r="J313">
        <f t="shared" si="4"/>
        <v>8.4757094250282705</v>
      </c>
    </row>
    <row r="314" spans="2:10">
      <c r="B314" s="7">
        <v>43777</v>
      </c>
      <c r="C314">
        <f>IF(OR(アイスクリームの売り上げデータ!B314=1,アイスクリームの売り上げデータ!B314=7),1,0)</f>
        <v>0</v>
      </c>
      <c r="D314">
        <f>アイスクリームの売り上げデータ!C314</f>
        <v>15.1</v>
      </c>
      <c r="E314">
        <f>アイスクリームの売り上げデータ!D314</f>
        <v>19.2</v>
      </c>
      <c r="F314">
        <f>アイスクリームの売り上げデータ!E314</f>
        <v>11.9</v>
      </c>
      <c r="G314">
        <f>アイスクリームの売り上げデータ!F314</f>
        <v>0</v>
      </c>
      <c r="H314">
        <f>アイスクリームの売り上げデータ!G314</f>
        <v>132</v>
      </c>
      <c r="I314">
        <f>重回帰の係数!$B$18*重回帰分析!C314+重回帰の係数!$B$19*重回帰分析!D314+重回帰の係数!$B$20*重回帰分析!E314+重回帰の係数!$B$21*重回帰分析!F314+重回帰の係数!$B$22*重回帰分析!G314+重回帰の係数!$B$17</f>
        <v>141.96096792014819</v>
      </c>
      <c r="J314">
        <f t="shared" si="4"/>
        <v>9.9609679201481924</v>
      </c>
    </row>
    <row r="315" spans="2:10">
      <c r="B315" s="7">
        <v>43778</v>
      </c>
      <c r="C315">
        <f>IF(OR(アイスクリームの売り上げデータ!B315=1,アイスクリームの売り上げデータ!B315=7),1,0)</f>
        <v>1</v>
      </c>
      <c r="D315">
        <f>アイスクリームの売り上げデータ!C315</f>
        <v>13.3</v>
      </c>
      <c r="E315">
        <f>アイスクリームの売り上げデータ!D315</f>
        <v>17.399999999999999</v>
      </c>
      <c r="F315">
        <f>アイスクリームの売り上げデータ!E315</f>
        <v>11.3</v>
      </c>
      <c r="G315">
        <f>アイスクリームの売り上げデータ!F315</f>
        <v>0</v>
      </c>
      <c r="H315">
        <f>アイスクリームの売り上げデータ!G315</f>
        <v>168</v>
      </c>
      <c r="I315">
        <f>重回帰の係数!$B$18*重回帰分析!C315+重回帰の係数!$B$19*重回帰分析!D315+重回帰の係数!$B$20*重回帰分析!E315+重回帰の係数!$B$21*重回帰分析!F315+重回帰の係数!$B$22*重回帰分析!G315+重回帰の係数!$B$17</f>
        <v>200.82446572220181</v>
      </c>
      <c r="J315">
        <f t="shared" si="4"/>
        <v>32.824465722201808</v>
      </c>
    </row>
    <row r="316" spans="2:10">
      <c r="B316" s="7">
        <v>43779</v>
      </c>
      <c r="C316">
        <f>IF(OR(アイスクリームの売り上げデータ!B316=1,アイスクリームの売り上げデータ!B316=7),1,0)</f>
        <v>1</v>
      </c>
      <c r="D316">
        <f>アイスクリームの売り上げデータ!C316</f>
        <v>13.9</v>
      </c>
      <c r="E316">
        <f>アイスクリームの売り上げデータ!D316</f>
        <v>18.600000000000001</v>
      </c>
      <c r="F316">
        <f>アイスクリームの売り上げデータ!E316</f>
        <v>9.1999999999999993</v>
      </c>
      <c r="G316">
        <f>アイスクリームの売り上げデータ!F316</f>
        <v>0</v>
      </c>
      <c r="H316">
        <f>アイスクリームの売り上げデータ!G316</f>
        <v>238</v>
      </c>
      <c r="I316">
        <f>重回帰の係数!$B$18*重回帰分析!C316+重回帰の係数!$B$19*重回帰分析!D316+重回帰の係数!$B$20*重回帰分析!E316+重回帰の係数!$B$21*重回帰分析!F316+重回帰の係数!$B$22*重回帰分析!G316+重回帰の係数!$B$17</f>
        <v>201.21296498285551</v>
      </c>
      <c r="J316">
        <f t="shared" si="4"/>
        <v>36.78703501714449</v>
      </c>
    </row>
    <row r="317" spans="2:10">
      <c r="B317" s="7">
        <v>43780</v>
      </c>
      <c r="C317">
        <f>IF(OR(アイスクリームの売り上げデータ!B317=1,アイスクリームの売り上げデータ!B317=7),1,0)</f>
        <v>0</v>
      </c>
      <c r="D317">
        <f>アイスクリームの売り上げデータ!C317</f>
        <v>12.9</v>
      </c>
      <c r="E317">
        <f>アイスクリームの売り上げデータ!D317</f>
        <v>17.899999999999999</v>
      </c>
      <c r="F317">
        <f>アイスクリームの売り上げデータ!E317</f>
        <v>10.8</v>
      </c>
      <c r="G317">
        <f>アイスクリームの売り上げデータ!F317</f>
        <v>6.5</v>
      </c>
      <c r="H317">
        <f>アイスクリームの売り上げデータ!G317</f>
        <v>113</v>
      </c>
      <c r="I317">
        <f>重回帰の係数!$B$18*重回帰分析!C317+重回帰の係数!$B$19*重回帰分析!D317+重回帰の係数!$B$20*重回帰分析!E317+重回帰の係数!$B$21*重回帰分析!F317+重回帰の係数!$B$22*重回帰分析!G317+重回帰の係数!$B$17</f>
        <v>128.11473567311901</v>
      </c>
      <c r="J317">
        <f t="shared" si="4"/>
        <v>15.114735673119014</v>
      </c>
    </row>
    <row r="318" spans="2:10">
      <c r="B318" s="7">
        <v>43781</v>
      </c>
      <c r="C318">
        <f>IF(OR(アイスクリームの売り上げデータ!B318=1,アイスクリームの売り上げデータ!B318=7),1,0)</f>
        <v>0</v>
      </c>
      <c r="D318">
        <f>アイスクリームの売り上げデータ!C318</f>
        <v>15.1</v>
      </c>
      <c r="E318">
        <f>アイスクリームの売り上げデータ!D318</f>
        <v>21.8</v>
      </c>
      <c r="F318">
        <f>アイスクリームの売り上げデータ!E318</f>
        <v>9.1999999999999993</v>
      </c>
      <c r="G318">
        <f>アイスクリームの売り上げデータ!F318</f>
        <v>0</v>
      </c>
      <c r="H318">
        <f>アイスクリームの売り上げデータ!G318</f>
        <v>145</v>
      </c>
      <c r="I318">
        <f>重回帰の係数!$B$18*重回帰分析!C318+重回帰の係数!$B$19*重回帰分析!D318+重回帰の係数!$B$20*重回帰分析!E318+重回帰の係数!$B$21*重回帰分析!F318+重回帰の係数!$B$22*重回帰分析!G318+重回帰の係数!$B$17</f>
        <v>141.52884591846512</v>
      </c>
      <c r="J318">
        <f t="shared" si="4"/>
        <v>3.4711540815348769</v>
      </c>
    </row>
    <row r="319" spans="2:10">
      <c r="B319" s="7">
        <v>43782</v>
      </c>
      <c r="C319">
        <f>IF(OR(アイスクリームの売り上げデータ!B319=1,アイスクリームの売り上げデータ!B319=7),1,0)</f>
        <v>0</v>
      </c>
      <c r="D319">
        <f>アイスクリームの売り上げデータ!C319</f>
        <v>13.3</v>
      </c>
      <c r="E319">
        <f>アイスクリームの売り上げデータ!D319</f>
        <v>16.100000000000001</v>
      </c>
      <c r="F319">
        <f>アイスクリームの売り上げデータ!E319</f>
        <v>11.3</v>
      </c>
      <c r="G319">
        <f>アイスクリームの売り上げデータ!F319</f>
        <v>0.5</v>
      </c>
      <c r="H319">
        <f>アイスクリームの売り上げデータ!G319</f>
        <v>152</v>
      </c>
      <c r="I319">
        <f>重回帰の係数!$B$18*重回帰分析!C319+重回帰の係数!$B$19*重回帰分析!D319+重回帰の係数!$B$20*重回帰分析!E319+重回帰の係数!$B$21*重回帰分析!F319+重回帰の係数!$B$22*重回帰分析!G319+重回帰の係数!$B$17</f>
        <v>134.97234506334203</v>
      </c>
      <c r="J319">
        <f t="shared" si="4"/>
        <v>17.027654936657967</v>
      </c>
    </row>
    <row r="320" spans="2:10">
      <c r="B320" s="7">
        <v>43783</v>
      </c>
      <c r="C320">
        <f>IF(OR(アイスクリームの売り上げデータ!B320=1,アイスクリームの売り上げデータ!B320=7),1,0)</f>
        <v>0</v>
      </c>
      <c r="D320">
        <f>アイスクリームの売り上げデータ!C320</f>
        <v>16.899999999999999</v>
      </c>
      <c r="E320">
        <f>アイスクリームの売り上げデータ!D320</f>
        <v>22.3</v>
      </c>
      <c r="F320">
        <f>アイスクリームの売り上げデータ!E320</f>
        <v>11.6</v>
      </c>
      <c r="G320">
        <f>アイスクリームの売り上げデータ!F320</f>
        <v>0</v>
      </c>
      <c r="H320">
        <f>アイスクリームの売り上げデータ!G320</f>
        <v>140</v>
      </c>
      <c r="I320">
        <f>重回帰の係数!$B$18*重回帰分析!C320+重回帰の係数!$B$19*重回帰分析!D320+重回帰の係数!$B$20*重回帰分析!E320+重回帰の係数!$B$21*重回帰分析!F320+重回帰の係数!$B$22*重回帰分析!G320+重回帰の係数!$B$17</f>
        <v>147.65215790283401</v>
      </c>
      <c r="J320">
        <f t="shared" si="4"/>
        <v>7.6521579028340057</v>
      </c>
    </row>
    <row r="321" spans="2:10">
      <c r="B321" s="7">
        <v>43784</v>
      </c>
      <c r="C321">
        <f>IF(OR(アイスクリームの売り上げデータ!B321=1,アイスクリームの売り上げデータ!B321=7),1,0)</f>
        <v>0</v>
      </c>
      <c r="D321">
        <f>アイスクリームの売り上げデータ!C321</f>
        <v>12.6</v>
      </c>
      <c r="E321">
        <f>アイスクリームの売り上げデータ!D321</f>
        <v>17.100000000000001</v>
      </c>
      <c r="F321">
        <f>アイスクリームの売り上げデータ!E321</f>
        <v>9.6999999999999993</v>
      </c>
      <c r="G321">
        <f>アイスクリームの売り上げデータ!F321</f>
        <v>0</v>
      </c>
      <c r="H321">
        <f>アイスクリームの売り上げデータ!G321</f>
        <v>136</v>
      </c>
      <c r="I321">
        <f>重回帰の係数!$B$18*重回帰分析!C321+重回帰の係数!$B$19*重回帰分析!D321+重回帰の係数!$B$20*重回帰分析!E321+重回帰の係数!$B$21*重回帰分析!F321+重回帰の係数!$B$22*重回帰分析!G321+重回帰の係数!$B$17</f>
        <v>133.42549525387858</v>
      </c>
      <c r="J321">
        <f t="shared" si="4"/>
        <v>2.5745047461214199</v>
      </c>
    </row>
    <row r="322" spans="2:10">
      <c r="B322" s="7">
        <v>43785</v>
      </c>
      <c r="C322">
        <f>IF(OR(アイスクリームの売り上げデータ!B322=1,アイスクリームの売り上げデータ!B322=7),1,0)</f>
        <v>1</v>
      </c>
      <c r="D322">
        <f>アイスクリームの売り上げデータ!C322</f>
        <v>12.8</v>
      </c>
      <c r="E322">
        <f>アイスクリームの売り上げデータ!D322</f>
        <v>18.899999999999999</v>
      </c>
      <c r="F322">
        <f>アイスクリームの売り上げデータ!E322</f>
        <v>7.8</v>
      </c>
      <c r="G322">
        <f>アイスクリームの売り上げデータ!F322</f>
        <v>0</v>
      </c>
      <c r="H322">
        <f>アイスクリームの売り上げデータ!G322</f>
        <v>168</v>
      </c>
      <c r="I322">
        <f>重回帰の係数!$B$18*重回帰分析!C322+重回帰の係数!$B$19*重回帰分析!D322+重回帰の係数!$B$20*重回帰分析!E322+重回帰の係数!$B$21*重回帰分析!F322+重回帰の係数!$B$22*重回帰分析!G322+重回帰の係数!$B$17</f>
        <v>197.93406469230064</v>
      </c>
      <c r="J322">
        <f t="shared" si="4"/>
        <v>29.934064692300637</v>
      </c>
    </row>
    <row r="323" spans="2:10">
      <c r="B323" s="7">
        <v>43786</v>
      </c>
      <c r="C323">
        <f>IF(OR(アイスクリームの売り上げデータ!B323=1,アイスクリームの売り上げデータ!B323=7),1,0)</f>
        <v>1</v>
      </c>
      <c r="D323">
        <f>アイスクリームの売り上げデータ!C323</f>
        <v>13.4</v>
      </c>
      <c r="E323">
        <f>アイスクリームの売り上げデータ!D323</f>
        <v>19.7</v>
      </c>
      <c r="F323">
        <f>アイスクリームの売り上げデータ!E323</f>
        <v>8.1999999999999993</v>
      </c>
      <c r="G323">
        <f>アイスクリームの売り上げデータ!F323</f>
        <v>0</v>
      </c>
      <c r="H323">
        <f>アイスクリームの売り上げデータ!G323</f>
        <v>226</v>
      </c>
      <c r="I323">
        <f>重回帰の係数!$B$18*重回帰分析!C323+重回帰の係数!$B$19*重回帰分析!D323+重回帰の係数!$B$20*重回帰分析!E323+重回帰の係数!$B$21*重回帰分析!F323+重回帰の係数!$B$22*重回帰分析!G323+重回帰の係数!$B$17</f>
        <v>200.07878795505005</v>
      </c>
      <c r="J323">
        <f t="shared" si="4"/>
        <v>25.921212044949954</v>
      </c>
    </row>
    <row r="324" spans="2:10">
      <c r="B324" s="7">
        <v>43787</v>
      </c>
      <c r="C324">
        <f>IF(OR(アイスクリームの売り上げデータ!B324=1,アイスクリームの売り上げデータ!B324=7),1,0)</f>
        <v>0</v>
      </c>
      <c r="D324">
        <f>アイスクリームの売り上げデータ!C324</f>
        <v>16.100000000000001</v>
      </c>
      <c r="E324">
        <f>アイスクリームの売り上げデータ!D324</f>
        <v>21.4</v>
      </c>
      <c r="F324">
        <f>アイスクリームの売り上げデータ!E324</f>
        <v>9.4</v>
      </c>
      <c r="G324">
        <f>アイスクリームの売り上げデータ!F324</f>
        <v>0</v>
      </c>
      <c r="H324">
        <f>アイスクリームの売り上げデータ!G324</f>
        <v>114</v>
      </c>
      <c r="I324">
        <f>重回帰の係数!$B$18*重回帰分析!C324+重回帰の係数!$B$19*重回帰分析!D324+重回帰の係数!$B$20*重回帰分析!E324+重回帰の係数!$B$21*重回帰分析!F324+重回帰の係数!$B$22*重回帰分析!G324+重回帰の係数!$B$17</f>
        <v>143.55415553754747</v>
      </c>
      <c r="J324">
        <f t="shared" ref="J324:J367" si="5">ABS(H324-I324)</f>
        <v>29.554155537547473</v>
      </c>
    </row>
    <row r="325" spans="2:10">
      <c r="B325" s="7">
        <v>43788</v>
      </c>
      <c r="C325">
        <f>IF(OR(アイスクリームの売り上げデータ!B325=1,アイスクリームの売り上げデータ!B325=7),1,0)</f>
        <v>0</v>
      </c>
      <c r="D325">
        <f>アイスクリームの売り上げデータ!C325</f>
        <v>15.8</v>
      </c>
      <c r="E325">
        <f>アイスクリームの売り上げデータ!D325</f>
        <v>20.7</v>
      </c>
      <c r="F325">
        <f>アイスクリームの売り上げデータ!E325</f>
        <v>11.7</v>
      </c>
      <c r="G325">
        <f>アイスクリームの売り上げデータ!F325</f>
        <v>3</v>
      </c>
      <c r="H325">
        <f>アイスクリームの売り上げデータ!G325</f>
        <v>152</v>
      </c>
      <c r="I325">
        <f>重回帰の係数!$B$18*重回帰分析!C325+重回帰の係数!$B$19*重回帰分析!D325+重回帰の係数!$B$20*重回帰分析!E325+重回帰の係数!$B$21*重回帰分析!F325+重回帰の係数!$B$22*重回帰分析!G325+重回帰の係数!$B$17</f>
        <v>140.89809805209489</v>
      </c>
      <c r="J325">
        <f t="shared" si="5"/>
        <v>11.101901947905105</v>
      </c>
    </row>
    <row r="326" spans="2:10">
      <c r="B326" s="7">
        <v>43789</v>
      </c>
      <c r="C326">
        <f>IF(OR(アイスクリームの売り上げデータ!B326=1,アイスクリームの売り上げデータ!B326=7),1,0)</f>
        <v>0</v>
      </c>
      <c r="D326">
        <f>アイスクリームの売り上げデータ!C326</f>
        <v>12</v>
      </c>
      <c r="E326">
        <f>アイスクリームの売り上げデータ!D326</f>
        <v>15.9</v>
      </c>
      <c r="F326">
        <f>アイスクリームの売り上げデータ!E326</f>
        <v>9.6</v>
      </c>
      <c r="G326">
        <f>アイスクリームの売り上げデータ!F326</f>
        <v>0</v>
      </c>
      <c r="H326">
        <f>アイスクリームの売り上げデータ!G326</f>
        <v>166</v>
      </c>
      <c r="I326">
        <f>重回帰の係数!$B$18*重回帰分析!C326+重回帰の係数!$B$19*重回帰分析!D326+重回帰の係数!$B$20*重回帰分析!E326+重回帰の係数!$B$21*重回帰分析!F326+重回帰の係数!$B$22*重回帰分析!G326+重回帰の係数!$B$17</f>
        <v>131.25372405032704</v>
      </c>
      <c r="J326">
        <f t="shared" si="5"/>
        <v>34.746275949672963</v>
      </c>
    </row>
    <row r="327" spans="2:10">
      <c r="B327" s="7">
        <v>43790</v>
      </c>
      <c r="C327">
        <f>IF(OR(アイスクリームの売り上げデータ!B327=1,アイスクリームの売り上げデータ!B327=7),1,0)</f>
        <v>0</v>
      </c>
      <c r="D327">
        <f>アイスクリームの売り上げデータ!C327</f>
        <v>11.3</v>
      </c>
      <c r="E327">
        <f>アイスクリームの売り上げデータ!D327</f>
        <v>15.7</v>
      </c>
      <c r="F327">
        <f>アイスクリームの売り上げデータ!E327</f>
        <v>8.5</v>
      </c>
      <c r="G327">
        <f>アイスクリームの売り上げデータ!F327</f>
        <v>0</v>
      </c>
      <c r="H327">
        <f>アイスクリームの売り上げデータ!G327</f>
        <v>134</v>
      </c>
      <c r="I327">
        <f>重回帰の係数!$B$18*重回帰分析!C327+重回帰の係数!$B$19*重回帰分析!D327+重回帰の係数!$B$20*重回帰分析!E327+重回帰の係数!$B$21*重回帰分析!F327+重回帰の係数!$B$22*重回帰分析!G327+重回帰の係数!$B$17</f>
        <v>128.73358662226815</v>
      </c>
      <c r="J327">
        <f t="shared" si="5"/>
        <v>5.2664133777318511</v>
      </c>
    </row>
    <row r="328" spans="2:10">
      <c r="B328" s="7">
        <v>43791</v>
      </c>
      <c r="C328">
        <f>IF(OR(アイスクリームの売り上げデータ!B328=1,アイスクリームの売り上げデータ!B328=7),1,0)</f>
        <v>0</v>
      </c>
      <c r="D328">
        <f>アイスクリームの売り上げデータ!C328</f>
        <v>8.1</v>
      </c>
      <c r="E328">
        <f>アイスクリームの売り上げデータ!D328</f>
        <v>10.8</v>
      </c>
      <c r="F328">
        <f>アイスクリームの売り上げデータ!E328</f>
        <v>6.3</v>
      </c>
      <c r="G328">
        <f>アイスクリームの売り上げデータ!F328</f>
        <v>47</v>
      </c>
      <c r="H328">
        <f>アイスクリームの売り上げデータ!G328</f>
        <v>62</v>
      </c>
      <c r="I328">
        <f>重回帰の係数!$B$18*重回帰分析!C328+重回帰の係数!$B$19*重回帰分析!D328+重回帰の係数!$B$20*重回帰分析!E328+重回帰の係数!$B$21*重回帰分析!F328+重回帰の係数!$B$22*重回帰分析!G328+重回帰の係数!$B$17</f>
        <v>63.429395298909398</v>
      </c>
      <c r="J328">
        <f t="shared" si="5"/>
        <v>1.4293952989093981</v>
      </c>
    </row>
    <row r="329" spans="2:10">
      <c r="B329" s="7">
        <v>43792</v>
      </c>
      <c r="C329">
        <f>IF(OR(アイスクリームの売り上げデータ!B329=1,アイスクリームの売り上げデータ!B329=7),1,0)</f>
        <v>1</v>
      </c>
      <c r="D329">
        <f>アイスクリームの売り上げデータ!C329</f>
        <v>11.3</v>
      </c>
      <c r="E329">
        <f>アイスクリームの売り上げデータ!D329</f>
        <v>13</v>
      </c>
      <c r="F329">
        <f>アイスクリームの売り上げデータ!E329</f>
        <v>9.1999999999999993</v>
      </c>
      <c r="G329">
        <f>アイスクリームの売り上げデータ!F329</f>
        <v>60.5</v>
      </c>
      <c r="H329">
        <f>アイスクリームの売り上げデータ!G329</f>
        <v>117</v>
      </c>
      <c r="I329">
        <f>重回帰の係数!$B$18*重回帰分析!C329+重回帰の係数!$B$19*重回帰分析!D329+重回帰の係数!$B$20*重回帰分析!E329+重回帰の係数!$B$21*重回帰分析!F329+重回帰の係数!$B$22*重回帰分析!G329+重回帰の係数!$B$17</f>
        <v>123.16556898565824</v>
      </c>
      <c r="J329">
        <f t="shared" si="5"/>
        <v>6.1655689856582399</v>
      </c>
    </row>
    <row r="330" spans="2:10">
      <c r="B330" s="7">
        <v>43793</v>
      </c>
      <c r="C330">
        <f>IF(OR(アイスクリームの売り上げデータ!B330=1,アイスクリームの売り上げデータ!B330=7),1,0)</f>
        <v>1</v>
      </c>
      <c r="D330">
        <f>アイスクリームの売り上げデータ!C330</f>
        <v>15.9</v>
      </c>
      <c r="E330">
        <f>アイスクリームの売り上げデータ!D330</f>
        <v>19.100000000000001</v>
      </c>
      <c r="F330">
        <f>アイスクリームの売り上げデータ!E330</f>
        <v>12.9</v>
      </c>
      <c r="G330">
        <f>アイスクリームの売り上げデータ!F330</f>
        <v>19</v>
      </c>
      <c r="H330">
        <f>アイスクリームの売り上げデータ!G330</f>
        <v>226</v>
      </c>
      <c r="I330">
        <f>重回帰の係数!$B$18*重回帰分析!C330+重回帰の係数!$B$19*重回帰分析!D330+重回帰の係数!$B$20*重回帰分析!E330+重回帰の係数!$B$21*重回帰分析!F330+重回帰の係数!$B$22*重回帰分析!G330+重回帰の係数!$B$17</f>
        <v>187.23603535886917</v>
      </c>
      <c r="J330">
        <f t="shared" si="5"/>
        <v>38.763964641130826</v>
      </c>
    </row>
    <row r="331" spans="2:10">
      <c r="B331" s="7">
        <v>43794</v>
      </c>
      <c r="C331">
        <f>IF(OR(アイスクリームの売り上げデータ!B331=1,アイスクリームの売り上げデータ!B331=7),1,0)</f>
        <v>0</v>
      </c>
      <c r="D331">
        <f>アイスクリームの売り上げデータ!C331</f>
        <v>16.600000000000001</v>
      </c>
      <c r="E331">
        <f>アイスクリームの売り上げデータ!D331</f>
        <v>21.9</v>
      </c>
      <c r="F331">
        <f>アイスクリームの売り上げデータ!E331</f>
        <v>12.1</v>
      </c>
      <c r="G331">
        <f>アイスクリームの売り上げデータ!F331</f>
        <v>1</v>
      </c>
      <c r="H331">
        <f>アイスクリームの売り上げデータ!G331</f>
        <v>128</v>
      </c>
      <c r="I331">
        <f>重回帰の係数!$B$18*重回帰分析!C331+重回帰の係数!$B$19*重回帰分析!D331+重回帰の係数!$B$20*重回帰分析!E331+重回帰の係数!$B$21*重回帰分析!F331+重回帰の係数!$B$22*重回帰分析!G331+重回帰の係数!$B$17</f>
        <v>146.01137591287522</v>
      </c>
      <c r="J331">
        <f t="shared" si="5"/>
        <v>18.011375912875224</v>
      </c>
    </row>
    <row r="332" spans="2:10">
      <c r="B332" s="7">
        <v>43795</v>
      </c>
      <c r="C332">
        <f>IF(OR(アイスクリームの売り上げデータ!B332=1,アイスクリームの売り上げデータ!B332=7),1,0)</f>
        <v>0</v>
      </c>
      <c r="D332">
        <f>アイスクリームの売り上げデータ!C332</f>
        <v>8.8000000000000007</v>
      </c>
      <c r="E332">
        <f>アイスクリームの売り上げデータ!D332</f>
        <v>12.5</v>
      </c>
      <c r="F332">
        <f>アイスクリームの売り上げデータ!E332</f>
        <v>7.3</v>
      </c>
      <c r="G332">
        <f>アイスクリームの売り上げデータ!F332</f>
        <v>1.5</v>
      </c>
      <c r="H332">
        <f>アイスクリームの売り上げデータ!G332</f>
        <v>113</v>
      </c>
      <c r="I332">
        <f>重回帰の係数!$B$18*重回帰分析!C332+重回帰の係数!$B$19*重回帰分析!D332+重回帰の係数!$B$20*重回帰分析!E332+重回帰の係数!$B$21*重回帰分析!F332+重回帰の係数!$B$22*重回帰分析!G332+重回帰の係数!$B$17</f>
        <v>118.56184569453669</v>
      </c>
      <c r="J332">
        <f t="shared" si="5"/>
        <v>5.5618456945366859</v>
      </c>
    </row>
    <row r="333" spans="2:10">
      <c r="B333" s="7">
        <v>43796</v>
      </c>
      <c r="C333">
        <f>IF(OR(アイスクリームの売り上げデータ!B333=1,アイスクリームの売り上げデータ!B333=7),1,0)</f>
        <v>0</v>
      </c>
      <c r="D333">
        <f>アイスクリームの売り上げデータ!C333</f>
        <v>9.3000000000000007</v>
      </c>
      <c r="E333">
        <f>アイスクリームの売り上げデータ!D333</f>
        <v>10.7</v>
      </c>
      <c r="F333">
        <f>アイスクリームの売り上げデータ!E333</f>
        <v>7.8</v>
      </c>
      <c r="G333">
        <f>アイスクリームの売り上げデータ!F333</f>
        <v>2.5</v>
      </c>
      <c r="H333">
        <f>アイスクリームの売り上げデータ!G333</f>
        <v>128</v>
      </c>
      <c r="I333">
        <f>重回帰の係数!$B$18*重回帰分析!C333+重回帰の係数!$B$19*重回帰分析!D333+重回帰の係数!$B$20*重回帰分析!E333+重回帰の係数!$B$21*重回帰分析!F333+重回帰の係数!$B$22*重回帰分析!G333+重回帰の係数!$B$17</f>
        <v>117.68202114849123</v>
      </c>
      <c r="J333">
        <f t="shared" si="5"/>
        <v>10.317978851508769</v>
      </c>
    </row>
    <row r="334" spans="2:10">
      <c r="B334" s="7">
        <v>43797</v>
      </c>
      <c r="C334">
        <f>IF(OR(アイスクリームの売り上げデータ!B334=1,アイスクリームの売り上げデータ!B334=7),1,0)</f>
        <v>0</v>
      </c>
      <c r="D334">
        <f>アイスクリームの売り上げデータ!C334</f>
        <v>8.5</v>
      </c>
      <c r="E334">
        <f>アイスクリームの売り上げデータ!D334</f>
        <v>11.8</v>
      </c>
      <c r="F334">
        <f>アイスクリームの売り上げデータ!E334</f>
        <v>4.5999999999999996</v>
      </c>
      <c r="G334">
        <f>アイスクリームの売り上げデータ!F334</f>
        <v>3.5</v>
      </c>
      <c r="H334">
        <f>アイスクリームの売り上げデータ!G334</f>
        <v>109</v>
      </c>
      <c r="I334">
        <f>重回帰の係数!$B$18*重回帰分析!C334+重回帰の係数!$B$19*重回帰分析!D334+重回帰の係数!$B$20*重回帰分析!E334+重回帰の係数!$B$21*重回帰分析!F334+重回帰の係数!$B$22*重回帰分析!G334+重回帰の係数!$B$17</f>
        <v>112.98872249745878</v>
      </c>
      <c r="J334">
        <f t="shared" si="5"/>
        <v>3.9887224974587809</v>
      </c>
    </row>
    <row r="335" spans="2:10">
      <c r="B335" s="7">
        <v>43798</v>
      </c>
      <c r="C335">
        <f>IF(OR(アイスクリームの売り上げデータ!B335=1,アイスクリームの売り上げデータ!B335=7),1,0)</f>
        <v>0</v>
      </c>
      <c r="D335">
        <f>アイスクリームの売り上げデータ!C335</f>
        <v>5.2</v>
      </c>
      <c r="E335">
        <f>アイスクリームの売り上げデータ!D335</f>
        <v>9.6999999999999993</v>
      </c>
      <c r="F335">
        <f>アイスクリームの売り上げデータ!E335</f>
        <v>1.6</v>
      </c>
      <c r="G335">
        <f>アイスクリームの売り上げデータ!F335</f>
        <v>0</v>
      </c>
      <c r="H335">
        <f>アイスクリームの売り上げデータ!G335</f>
        <v>96</v>
      </c>
      <c r="I335">
        <f>重回帰の係数!$B$18*重回帰分析!C335+重回帰の係数!$B$19*重回帰分析!D335+重回帰の係数!$B$20*重回帰分析!E335+重回帰の係数!$B$21*重回帰分析!F335+重回帰の係数!$B$22*重回帰分析!G335+重回帰の係数!$B$17</f>
        <v>106.07344274303023</v>
      </c>
      <c r="J335">
        <f t="shared" si="5"/>
        <v>10.073442743030228</v>
      </c>
    </row>
    <row r="336" spans="2:10">
      <c r="B336" s="7">
        <v>43799</v>
      </c>
      <c r="C336">
        <f>IF(OR(アイスクリームの売り上げデータ!B336=1,アイスクリームの売り上げデータ!B336=7),1,0)</f>
        <v>1</v>
      </c>
      <c r="D336">
        <f>アイスクリームの売り上げデータ!C336</f>
        <v>7.3</v>
      </c>
      <c r="E336">
        <f>アイスクリームの売り上げデータ!D336</f>
        <v>12</v>
      </c>
      <c r="F336">
        <f>アイスクリームの売り上げデータ!E336</f>
        <v>3.1</v>
      </c>
      <c r="G336">
        <f>アイスクリームの売り上げデータ!F336</f>
        <v>0</v>
      </c>
      <c r="H336">
        <f>アイスクリームの売り上げデータ!G336</f>
        <v>143</v>
      </c>
      <c r="I336">
        <f>重回帰の係数!$B$18*重回帰分析!C336+重回帰の係数!$B$19*重回帰分析!D336+重回帰の係数!$B$20*重回帰分析!E336+重回帰の係数!$B$21*重回帰分析!F336+重回帰の係数!$B$22*重回帰分析!G336+重回帰の係数!$B$17</f>
        <v>177.72924385923091</v>
      </c>
      <c r="J336">
        <f t="shared" si="5"/>
        <v>34.729243859230905</v>
      </c>
    </row>
    <row r="337" spans="2:10">
      <c r="B337" s="7">
        <v>43800</v>
      </c>
      <c r="C337">
        <f>IF(OR(アイスクリームの売り上げデータ!B337=1,アイスクリームの売り上げデータ!B337=7),1,0)</f>
        <v>1</v>
      </c>
      <c r="D337">
        <f>アイスクリームの売り上げデータ!C337</f>
        <v>7.4</v>
      </c>
      <c r="E337">
        <f>アイスクリームの売り上げデータ!D337</f>
        <v>11.5</v>
      </c>
      <c r="F337">
        <f>アイスクリームの売り上げデータ!E337</f>
        <v>4.7</v>
      </c>
      <c r="G337">
        <f>アイスクリームの売り上げデータ!F337</f>
        <v>0</v>
      </c>
      <c r="H337">
        <f>アイスクリームの売り上げデータ!G337</f>
        <v>211</v>
      </c>
      <c r="I337">
        <f>重回帰の係数!$B$18*重回帰分析!C337+重回帰の係数!$B$19*重回帰分析!D337+重回帰の係数!$B$20*重回帰分析!E337+重回帰の係数!$B$21*重回帰分析!F337+重回帰の係数!$B$22*重回帰分析!G337+重回帰の係数!$B$17</f>
        <v>178.9017337117071</v>
      </c>
      <c r="J337">
        <f t="shared" si="5"/>
        <v>32.098266288292905</v>
      </c>
    </row>
    <row r="338" spans="2:10">
      <c r="B338" s="7">
        <v>43801</v>
      </c>
      <c r="C338">
        <f>IF(OR(アイスクリームの売り上げデータ!B338=1,アイスクリームの売り上げデータ!B338=7),1,0)</f>
        <v>0</v>
      </c>
      <c r="D338">
        <f>アイスクリームの売り上げデータ!C338</f>
        <v>9.5</v>
      </c>
      <c r="E338">
        <f>アイスクリームの売り上げデータ!D338</f>
        <v>16.399999999999999</v>
      </c>
      <c r="F338">
        <f>アイスクリームの売り上げデータ!E338</f>
        <v>6.2</v>
      </c>
      <c r="G338">
        <f>アイスクリームの売り上げデータ!F338</f>
        <v>36</v>
      </c>
      <c r="H338">
        <f>アイスクリームの売り上げデータ!G338</f>
        <v>60</v>
      </c>
      <c r="I338">
        <f>重回帰の係数!$B$18*重回帰分析!C338+重回帰の係数!$B$19*重回帰分析!D338+重回帰の係数!$B$20*重回帰分析!E338+重回帰の係数!$B$21*重回帰分析!F338+重回帰の係数!$B$22*重回帰分析!G338+重回帰の係数!$B$17</f>
        <v>82.612294179402596</v>
      </c>
      <c r="J338">
        <f t="shared" si="5"/>
        <v>22.612294179402596</v>
      </c>
    </row>
    <row r="339" spans="2:10">
      <c r="B339" s="7">
        <v>43802</v>
      </c>
      <c r="C339">
        <f>IF(OR(アイスクリームの売り上げデータ!B339=1,アイスクリームの売り上げデータ!B339=7),1,0)</f>
        <v>0</v>
      </c>
      <c r="D339">
        <f>アイスクリームの売り上げデータ!C339</f>
        <v>11.8</v>
      </c>
      <c r="E339">
        <f>アイスクリームの売り上げデータ!D339</f>
        <v>17</v>
      </c>
      <c r="F339">
        <f>アイスクリームの売り上げデータ!E339</f>
        <v>9.1</v>
      </c>
      <c r="G339">
        <f>アイスクリームの売り上げデータ!F339</f>
        <v>0</v>
      </c>
      <c r="H339">
        <f>アイスクリームの売り上げデータ!G339</f>
        <v>129</v>
      </c>
      <c r="I339">
        <f>重回帰の係数!$B$18*重回帰分析!C339+重回帰の係数!$B$19*重回帰分析!D339+重回帰の係数!$B$20*重回帰分析!E339+重回帰の係数!$B$21*重回帰分析!F339+重回帰の係数!$B$22*重回帰分析!G339+重回帰の係数!$B$17</f>
        <v>131.16486071309413</v>
      </c>
      <c r="J339">
        <f t="shared" si="5"/>
        <v>2.1648607130941286</v>
      </c>
    </row>
    <row r="340" spans="2:10">
      <c r="B340" s="7">
        <v>43803</v>
      </c>
      <c r="C340">
        <f>IF(OR(アイスクリームの売り上げデータ!B340=1,アイスクリームの売り上げデータ!B340=7),1,0)</f>
        <v>0</v>
      </c>
      <c r="D340">
        <f>アイスクリームの売り上げデータ!C340</f>
        <v>10.199999999999999</v>
      </c>
      <c r="E340">
        <f>アイスクリームの売り上げデータ!D340</f>
        <v>15.3</v>
      </c>
      <c r="F340">
        <f>アイスクリームの売り上げデータ!E340</f>
        <v>5.7</v>
      </c>
      <c r="G340">
        <f>アイスクリームの売り上げデータ!F340</f>
        <v>0</v>
      </c>
      <c r="H340">
        <f>アイスクリームの売り上げデータ!G340</f>
        <v>162</v>
      </c>
      <c r="I340">
        <f>重回帰の係数!$B$18*重回帰分析!C340+重回帰の係数!$B$19*重回帰分析!D340+重回帰の係数!$B$20*重回帰分析!E340+重回帰の係数!$B$21*重回帰分析!F340+重回帰の係数!$B$22*重回帰分析!G340+重回帰の係数!$B$17</f>
        <v>123.84698948527395</v>
      </c>
      <c r="J340">
        <f t="shared" si="5"/>
        <v>38.153010514726049</v>
      </c>
    </row>
    <row r="341" spans="2:10">
      <c r="B341" s="7">
        <v>43804</v>
      </c>
      <c r="C341">
        <f>IF(OR(アイスクリームの売り上げデータ!B341=1,アイスクリームの売り上げデータ!B341=7),1,0)</f>
        <v>0</v>
      </c>
      <c r="D341">
        <f>アイスクリームの売り上げデータ!C341</f>
        <v>9.6</v>
      </c>
      <c r="E341">
        <f>アイスクリームの売り上げデータ!D341</f>
        <v>14.5</v>
      </c>
      <c r="F341">
        <f>アイスクリームの売り上げデータ!E341</f>
        <v>5.6</v>
      </c>
      <c r="G341">
        <f>アイスクリームの売り上げデータ!F341</f>
        <v>0</v>
      </c>
      <c r="H341">
        <f>アイスクリームの売り上げデータ!G341</f>
        <v>115</v>
      </c>
      <c r="I341">
        <f>重回帰の係数!$B$18*重回帰分析!C341+重回帰の係数!$B$19*重回帰分析!D341+重回帰の係数!$B$20*重回帰分析!E341+重回帰の係数!$B$21*重回帰分析!F341+重回帰の係数!$B$22*重回帰分析!G341+重回帰の係数!$B$17</f>
        <v>121.94543966928336</v>
      </c>
      <c r="J341">
        <f t="shared" si="5"/>
        <v>6.9454396692833598</v>
      </c>
    </row>
    <row r="342" spans="2:10">
      <c r="B342" s="7">
        <v>43805</v>
      </c>
      <c r="C342">
        <f>IF(OR(アイスクリームの売り上げデータ!B342=1,アイスクリームの売り上げデータ!B342=7),1,0)</f>
        <v>0</v>
      </c>
      <c r="D342">
        <f>アイスクリームの売り上げデータ!C342</f>
        <v>8</v>
      </c>
      <c r="E342">
        <f>アイスクリームの売り上げデータ!D342</f>
        <v>10.4</v>
      </c>
      <c r="F342">
        <f>アイスクリームの売り上げデータ!E342</f>
        <v>6</v>
      </c>
      <c r="G342">
        <f>アイスクリームの売り上げデータ!F342</f>
        <v>0</v>
      </c>
      <c r="H342">
        <f>アイスクリームの売り上げデータ!G342</f>
        <v>112</v>
      </c>
      <c r="I342">
        <f>重回帰の係数!$B$18*重回帰分析!C342+重回帰の係数!$B$19*重回帰分析!D342+重回帰の係数!$B$20*重回帰分析!E342+重回帰の係数!$B$21*重回帰分析!F342+重回帰の係数!$B$22*重回帰分析!G342+重回帰の係数!$B$17</f>
        <v>116.08643710837563</v>
      </c>
      <c r="J342">
        <f t="shared" si="5"/>
        <v>4.0864371083756339</v>
      </c>
    </row>
    <row r="343" spans="2:10">
      <c r="B343" s="7">
        <v>43806</v>
      </c>
      <c r="C343">
        <f>IF(OR(アイスクリームの売り上げデータ!B343=1,アイスクリームの売り上げデータ!B343=7),1,0)</f>
        <v>1</v>
      </c>
      <c r="D343">
        <f>アイスクリームの売り上げデータ!C343</f>
        <v>5.5</v>
      </c>
      <c r="E343">
        <f>アイスクリームの売り上げデータ!D343</f>
        <v>7.1</v>
      </c>
      <c r="F343">
        <f>アイスクリームの売り上げデータ!E343</f>
        <v>4.4000000000000004</v>
      </c>
      <c r="G343">
        <f>アイスクリームの売り上げデータ!F343</f>
        <v>1.5</v>
      </c>
      <c r="H343">
        <f>アイスクリームの売り上げデータ!G343</f>
        <v>143</v>
      </c>
      <c r="I343">
        <f>重回帰の係数!$B$18*重回帰分析!C343+重回帰の係数!$B$19*重回帰分析!D343+重回帰の係数!$B$20*重回帰分析!E343+重回帰の係数!$B$21*重回帰分析!F343+重回帰の係数!$B$22*重回帰分析!G343+重回帰の係数!$B$17</f>
        <v>169.92889818685165</v>
      </c>
      <c r="J343">
        <f t="shared" si="5"/>
        <v>26.928898186851654</v>
      </c>
    </row>
    <row r="344" spans="2:10">
      <c r="B344" s="7">
        <v>43807</v>
      </c>
      <c r="C344">
        <f>IF(OR(アイスクリームの売り上げデータ!B344=1,アイスクリームの売り上げデータ!B344=7),1,0)</f>
        <v>1</v>
      </c>
      <c r="D344">
        <f>アイスクリームの売り上げデータ!C344</f>
        <v>7.4</v>
      </c>
      <c r="E344">
        <f>アイスクリームの売り上げデータ!D344</f>
        <v>13.2</v>
      </c>
      <c r="F344">
        <f>アイスクリームの売り上げデータ!E344</f>
        <v>2.2000000000000002</v>
      </c>
      <c r="G344">
        <f>アイスクリームの売り上げデータ!F344</f>
        <v>0</v>
      </c>
      <c r="H344">
        <f>アイスクリームの売り上げデータ!G344</f>
        <v>196</v>
      </c>
      <c r="I344">
        <f>重回帰の係数!$B$18*重回帰分析!C344+重回帰の係数!$B$19*重回帰分析!D344+重回帰の係数!$B$20*重回帰分析!E344+重回帰の係数!$B$21*重回帰分析!F344+重回帰の係数!$B$22*重回帰分析!G344+重回帰の係数!$B$17</f>
        <v>178.02372921918442</v>
      </c>
      <c r="J344">
        <f t="shared" si="5"/>
        <v>17.976270780815582</v>
      </c>
    </row>
    <row r="345" spans="2:10">
      <c r="B345" s="7">
        <v>43808</v>
      </c>
      <c r="C345">
        <f>IF(OR(アイスクリームの売り上げデータ!B345=1,アイスクリームの売り上げデータ!B345=7),1,0)</f>
        <v>0</v>
      </c>
      <c r="D345">
        <f>アイスクリームの売り上げデータ!C345</f>
        <v>6.4</v>
      </c>
      <c r="E345">
        <f>アイスクリームの売り上げデータ!D345</f>
        <v>9.5</v>
      </c>
      <c r="F345">
        <f>アイスクリームの売り上げデータ!E345</f>
        <v>3.5</v>
      </c>
      <c r="G345">
        <f>アイスクリームの売り上げデータ!F345</f>
        <v>1</v>
      </c>
      <c r="H345">
        <f>アイスクリームの売り上げデータ!G345</f>
        <v>80</v>
      </c>
      <c r="I345">
        <f>重回帰の係数!$B$18*重回帰分析!C345+重回帰の係数!$B$19*重回帰分析!D345+重回帰の係数!$B$20*重回帰分析!E345+重回帰の係数!$B$21*重回帰分析!F345+重回帰の係数!$B$22*重回帰分析!G345+重回帰の係数!$B$17</f>
        <v>108.90270392826577</v>
      </c>
      <c r="J345">
        <f t="shared" si="5"/>
        <v>28.902703928265765</v>
      </c>
    </row>
    <row r="346" spans="2:10">
      <c r="B346" s="7">
        <v>43809</v>
      </c>
      <c r="C346">
        <f>IF(OR(アイスクリームの売り上げデータ!B346=1,アイスクリームの売り上げデータ!B346=7),1,0)</f>
        <v>0</v>
      </c>
      <c r="D346">
        <f>アイスクリームの売り上げデータ!C346</f>
        <v>10.199999999999999</v>
      </c>
      <c r="E346">
        <f>アイスクリームの売り上げデータ!D346</f>
        <v>14.3</v>
      </c>
      <c r="F346">
        <f>アイスクリームの売り上げデータ!E346</f>
        <v>6.6</v>
      </c>
      <c r="G346">
        <f>アイスクリームの売り上げデータ!F346</f>
        <v>5.5</v>
      </c>
      <c r="H346">
        <f>アイスクリームの売り上げデータ!G346</f>
        <v>113</v>
      </c>
      <c r="I346">
        <f>重回帰の係数!$B$18*重回帰分析!C346+重回帰の係数!$B$19*重回帰分析!D346+重回帰の係数!$B$20*重回帰分析!E346+重回帰の係数!$B$21*重回帰分析!F346+重回帰の係数!$B$22*重回帰分析!G346+重回帰の係数!$B$17</f>
        <v>117.65391848436434</v>
      </c>
      <c r="J346">
        <f t="shared" si="5"/>
        <v>4.6539184843643397</v>
      </c>
    </row>
    <row r="347" spans="2:10">
      <c r="B347" s="7">
        <v>43810</v>
      </c>
      <c r="C347">
        <f>IF(OR(アイスクリームの売り上げデータ!B347=1,アイスクリームの売り上げデータ!B347=7),1,0)</f>
        <v>0</v>
      </c>
      <c r="D347">
        <f>アイスクリームの売り上げデータ!C347</f>
        <v>11.7</v>
      </c>
      <c r="E347">
        <f>アイスクリームの売り上げデータ!D347</f>
        <v>15.3</v>
      </c>
      <c r="F347">
        <f>アイスクリームの売り上げデータ!E347</f>
        <v>8.3000000000000007</v>
      </c>
      <c r="G347">
        <f>アイスクリームの売り上げデータ!F347</f>
        <v>0.5</v>
      </c>
      <c r="H347">
        <f>アイスクリームの売り上げデータ!G347</f>
        <v>156</v>
      </c>
      <c r="I347">
        <f>重回帰の係数!$B$18*重回帰分析!C347+重回帰の係数!$B$19*重回帰分析!D347+重回帰の係数!$B$20*重回帰分析!E347+重回帰の係数!$B$21*重回帰分析!F347+重回帰の係数!$B$22*重回帰分析!G347+重回帰の係数!$B$17</f>
        <v>128.58670321987901</v>
      </c>
      <c r="J347">
        <f t="shared" si="5"/>
        <v>27.413296780120987</v>
      </c>
    </row>
    <row r="348" spans="2:10">
      <c r="B348" s="7">
        <v>43811</v>
      </c>
      <c r="C348">
        <f>IF(OR(アイスクリームの売り上げデータ!B348=1,アイスクリームの売り上げデータ!B348=7),1,0)</f>
        <v>0</v>
      </c>
      <c r="D348">
        <f>アイスクリームの売り上げデータ!C348</f>
        <v>11.7</v>
      </c>
      <c r="E348">
        <f>アイスクリームの売り上げデータ!D348</f>
        <v>18.899999999999999</v>
      </c>
      <c r="F348">
        <f>アイスクリームの売り上げデータ!E348</f>
        <v>7.8</v>
      </c>
      <c r="G348">
        <f>アイスクリームの売り上げデータ!F348</f>
        <v>0</v>
      </c>
      <c r="H348">
        <f>アイスクリームの売り上げデータ!G348</f>
        <v>144</v>
      </c>
      <c r="I348">
        <f>重回帰の係数!$B$18*重回帰分析!C348+重回帰の係数!$B$19*重回帰分析!D348+重回帰の係数!$B$20*重回帰分析!E348+重回帰の係数!$B$21*重回帰分析!F348+重回帰の係数!$B$22*重回帰分析!G348+重回帰の係数!$B$17</f>
        <v>131.18131916384007</v>
      </c>
      <c r="J348">
        <f t="shared" si="5"/>
        <v>12.818680836159928</v>
      </c>
    </row>
    <row r="349" spans="2:10">
      <c r="B349" s="7">
        <v>43812</v>
      </c>
      <c r="C349">
        <f>IF(OR(アイスクリームの売り上げデータ!B349=1,アイスクリームの売り上げデータ!B349=7),1,0)</f>
        <v>0</v>
      </c>
      <c r="D349">
        <f>アイスクリームの売り上げデータ!C349</f>
        <v>7.5</v>
      </c>
      <c r="E349">
        <f>アイスクリームの売り上げデータ!D349</f>
        <v>9.4</v>
      </c>
      <c r="F349">
        <f>アイスクリームの売り上げデータ!E349</f>
        <v>6.5</v>
      </c>
      <c r="G349">
        <f>アイスクリームの売り上げデータ!F349</f>
        <v>0</v>
      </c>
      <c r="H349">
        <f>アイスクリームの売り上げデータ!G349</f>
        <v>108</v>
      </c>
      <c r="I349">
        <f>重回帰の係数!$B$18*重回帰分析!C349+重回帰の係数!$B$19*重回帰分析!D349+重回帰の係数!$B$20*重回帰分析!E349+重回帰の係数!$B$21*重回帰分析!F349+重回帰の係数!$B$22*重回帰分析!G349+重回帰の係数!$B$17</f>
        <v>114.74946502966924</v>
      </c>
      <c r="J349">
        <f t="shared" si="5"/>
        <v>6.7494650296692384</v>
      </c>
    </row>
    <row r="350" spans="2:10">
      <c r="B350" s="7">
        <v>43813</v>
      </c>
      <c r="C350">
        <f>IF(OR(アイスクリームの売り上げデータ!B350=1,アイスクリームの売り上げデータ!B350=7),1,0)</f>
        <v>1</v>
      </c>
      <c r="D350">
        <f>アイスクリームの売り上げデータ!C350</f>
        <v>9.4</v>
      </c>
      <c r="E350">
        <f>アイスクリームの売り上げデータ!D350</f>
        <v>16</v>
      </c>
      <c r="F350">
        <f>アイスクリームの売り上げデータ!E350</f>
        <v>2.9</v>
      </c>
      <c r="G350">
        <f>アイスクリームの売り上げデータ!F350</f>
        <v>0</v>
      </c>
      <c r="H350">
        <f>アイスクリームの売り上げデータ!G350</f>
        <v>169</v>
      </c>
      <c r="I350">
        <f>重回帰の係数!$B$18*重回帰分析!C350+重回帰の係数!$B$19*重回帰分析!D350+重回帰の係数!$B$20*重回帰分析!E350+重回帰の係数!$B$21*重回帰分析!F350+重回帰の係数!$B$22*重回帰分析!G350+重回帰の係数!$B$17</f>
        <v>184.74951439215633</v>
      </c>
      <c r="J350">
        <f t="shared" si="5"/>
        <v>15.749514392156328</v>
      </c>
    </row>
    <row r="351" spans="2:10">
      <c r="B351" s="7">
        <v>43814</v>
      </c>
      <c r="C351">
        <f>IF(OR(アイスクリームの売り上げデータ!B351=1,アイスクリームの売り上げデータ!B351=7),1,0)</f>
        <v>1</v>
      </c>
      <c r="D351">
        <f>アイスクリームの売り上げデータ!C351</f>
        <v>8.6999999999999993</v>
      </c>
      <c r="E351">
        <f>アイスクリームの売り上げデータ!D351</f>
        <v>12.5</v>
      </c>
      <c r="F351">
        <f>アイスクリームの売り上げデータ!E351</f>
        <v>5.5</v>
      </c>
      <c r="G351">
        <f>アイスクリームの売り上げデータ!F351</f>
        <v>0</v>
      </c>
      <c r="H351">
        <f>アイスクリームの売り上げデータ!G351</f>
        <v>212</v>
      </c>
      <c r="I351">
        <f>重回帰の係数!$B$18*重回帰分析!C351+重回帰の係数!$B$19*重回帰分析!D351+重回帰の係数!$B$20*重回帰分析!E351+重回帰の係数!$B$21*重回帰分析!F351+重回帰の係数!$B$22*重回帰分析!G351+重回帰の係数!$B$17</f>
        <v>182.99918969341149</v>
      </c>
      <c r="J351">
        <f t="shared" si="5"/>
        <v>29.000810306588505</v>
      </c>
    </row>
    <row r="352" spans="2:10">
      <c r="B352" s="7">
        <v>43815</v>
      </c>
      <c r="C352">
        <f>IF(OR(アイスクリームの売り上げデータ!B352=1,アイスクリームの売り上げデータ!B352=7),1,0)</f>
        <v>0</v>
      </c>
      <c r="D352">
        <f>アイスクリームの売り上げデータ!C352</f>
        <v>7.8</v>
      </c>
      <c r="E352">
        <f>アイスクリームの売り上げデータ!D352</f>
        <v>12.3</v>
      </c>
      <c r="F352">
        <f>アイスクリームの売り上げデータ!E352</f>
        <v>2.9</v>
      </c>
      <c r="G352">
        <f>アイスクリームの売り上げデータ!F352</f>
        <v>0</v>
      </c>
      <c r="H352">
        <f>アイスクリームの売り上げデータ!G352</f>
        <v>83</v>
      </c>
      <c r="I352">
        <f>重回帰の係数!$B$18*重回帰分析!C352+重回帰の係数!$B$19*重回帰分析!D352+重回帰の係数!$B$20*重回帰分析!E352+重回帰の係数!$B$21*重回帰分析!F352+重回帰の係数!$B$22*重回帰分析!G352+重回帰の係数!$B$17</f>
        <v>114.43051334102171</v>
      </c>
      <c r="J352">
        <f t="shared" si="5"/>
        <v>31.430513341021708</v>
      </c>
    </row>
    <row r="353" spans="2:10">
      <c r="B353" s="7">
        <v>43816</v>
      </c>
      <c r="C353">
        <f>IF(OR(アイスクリームの売り上げデータ!B353=1,アイスクリームの売り上げデータ!B353=7),1,0)</f>
        <v>0</v>
      </c>
      <c r="D353">
        <f>アイスクリームの売り上げデータ!C353</f>
        <v>8.1999999999999993</v>
      </c>
      <c r="E353">
        <f>アイスクリームの売り上げデータ!D353</f>
        <v>9.6999999999999993</v>
      </c>
      <c r="F353">
        <f>アイスクリームの売り上げデータ!E353</f>
        <v>6</v>
      </c>
      <c r="G353">
        <f>アイスクリームの売り上げデータ!F353</f>
        <v>1</v>
      </c>
      <c r="H353">
        <f>アイスクリームの売り上げデータ!G353</f>
        <v>126</v>
      </c>
      <c r="I353">
        <f>重回帰の係数!$B$18*重回帰分析!C353+重回帰の係数!$B$19*重回帰分析!D353+重回帰の係数!$B$20*重回帰分析!E353+重回帰の係数!$B$21*重回帰分析!F353+重回帰の係数!$B$22*重回帰分析!G353+重回帰の係数!$B$17</f>
        <v>114.9044076875502</v>
      </c>
      <c r="J353">
        <f t="shared" si="5"/>
        <v>11.095592312449796</v>
      </c>
    </row>
    <row r="354" spans="2:10">
      <c r="B354" s="7">
        <v>43817</v>
      </c>
      <c r="C354">
        <f>IF(OR(アイスクリームの売り上げデータ!B354=1,アイスクリームの売り上げデータ!B354=7),1,0)</f>
        <v>0</v>
      </c>
      <c r="D354">
        <f>アイスクリームの売り上げデータ!C354</f>
        <v>11.1</v>
      </c>
      <c r="E354">
        <f>アイスクリームの売り上げデータ!D354</f>
        <v>15.4</v>
      </c>
      <c r="F354">
        <f>アイスクリームの売り上げデータ!E354</f>
        <v>6.5</v>
      </c>
      <c r="G354">
        <f>アイスクリームの売り上げデータ!F354</f>
        <v>0</v>
      </c>
      <c r="H354">
        <f>アイスクリームの売り上げデータ!G354</f>
        <v>151</v>
      </c>
      <c r="I354">
        <f>重回帰の係数!$B$18*重回帰分析!C354+重回帰の係数!$B$19*重回帰分析!D354+重回帰の係数!$B$20*重回帰分析!E354+重回帰の係数!$B$21*重回帰分析!F354+重回帰の係数!$B$22*重回帰分析!G354+重回帰の係数!$B$17</f>
        <v>126.48308119477798</v>
      </c>
      <c r="J354">
        <f t="shared" si="5"/>
        <v>24.516918805222019</v>
      </c>
    </row>
    <row r="355" spans="2:10">
      <c r="B355" s="7">
        <v>43818</v>
      </c>
      <c r="C355">
        <f>IF(OR(アイスクリームの売り上げデータ!B355=1,アイスクリームの売り上げデータ!B355=7),1,0)</f>
        <v>0</v>
      </c>
      <c r="D355">
        <f>アイスクリームの売り上げデータ!C355</f>
        <v>9</v>
      </c>
      <c r="E355">
        <f>アイスクリームの売り上げデータ!D355</f>
        <v>11.1</v>
      </c>
      <c r="F355">
        <f>アイスクリームの売り上げデータ!E355</f>
        <v>8</v>
      </c>
      <c r="G355">
        <f>アイスクリームの売り上げデータ!F355</f>
        <v>0</v>
      </c>
      <c r="H355">
        <f>アイスクリームの売り上げデータ!G355</f>
        <v>121</v>
      </c>
      <c r="I355">
        <f>重回帰の係数!$B$18*重回帰分析!C355+重回帰の係数!$B$19*重回帰分析!D355+重回帰の係数!$B$20*重回帰分析!E355+重回帰の係数!$B$21*重回帰分析!F355+重回帰の係数!$B$22*重回帰分析!G355+重回帰の係数!$B$17</f>
        <v>120.31389622380333</v>
      </c>
      <c r="J355">
        <f t="shared" si="5"/>
        <v>0.68610377619667418</v>
      </c>
    </row>
    <row r="356" spans="2:10">
      <c r="B356" s="7">
        <v>43819</v>
      </c>
      <c r="C356">
        <f>IF(OR(アイスクリームの売り上げデータ!B356=1,アイスクリームの売り上げデータ!B356=7),1,0)</f>
        <v>0</v>
      </c>
      <c r="D356">
        <f>アイスクリームの売り上げデータ!C356</f>
        <v>10.6</v>
      </c>
      <c r="E356">
        <f>アイスクリームの売り上げデータ!D356</f>
        <v>16.100000000000001</v>
      </c>
      <c r="F356">
        <f>アイスクリームの売り上げデータ!E356</f>
        <v>6</v>
      </c>
      <c r="G356">
        <f>アイスクリームの売り上げデータ!F356</f>
        <v>0</v>
      </c>
      <c r="H356">
        <f>アイスクリームの売り上げデータ!G356</f>
        <v>128</v>
      </c>
      <c r="I356">
        <f>重回帰の係数!$B$18*重回帰分析!C356+重回帰の係数!$B$19*重回帰分析!D356+重回帰の係数!$B$20*重回帰分析!E356+重回帰の係数!$B$21*重回帰分析!F356+重回帰の係数!$B$22*重回帰分析!G356+重回帰の係数!$B$17</f>
        <v>125.48397185734292</v>
      </c>
      <c r="J356">
        <f t="shared" si="5"/>
        <v>2.5160281426570776</v>
      </c>
    </row>
    <row r="357" spans="2:10">
      <c r="B357" s="7">
        <v>43820</v>
      </c>
      <c r="C357">
        <f>IF(OR(アイスクリームの売り上げデータ!B357=1,アイスクリームの売り上げデータ!B357=7),1,0)</f>
        <v>1</v>
      </c>
      <c r="D357">
        <f>アイスクリームの売り上げデータ!C357</f>
        <v>8.1</v>
      </c>
      <c r="E357">
        <f>アイスクリームの売り上げデータ!D357</f>
        <v>9.5</v>
      </c>
      <c r="F357">
        <f>アイスクリームの売り上げデータ!E357</f>
        <v>6.5</v>
      </c>
      <c r="G357">
        <f>アイスクリームの売り上げデータ!F357</f>
        <v>0</v>
      </c>
      <c r="H357">
        <f>アイスクリームの売り上げデータ!G357</f>
        <v>165</v>
      </c>
      <c r="I357">
        <f>重回帰の係数!$B$18*重回帰分析!C357+重回帰の係数!$B$19*重回帰分析!D357+重回帰の係数!$B$20*重回帰分析!E357+重回帰の係数!$B$21*重回帰分析!F357+重回帰の係数!$B$22*重回帰分析!G357+重回帰の係数!$B$17</f>
        <v>180.50305821728469</v>
      </c>
      <c r="J357">
        <f t="shared" si="5"/>
        <v>15.503058217284689</v>
      </c>
    </row>
    <row r="358" spans="2:10">
      <c r="B358" s="7">
        <v>43821</v>
      </c>
      <c r="C358">
        <f>IF(OR(アイスクリームの売り上げデータ!B358=1,アイスクリームの売り上げデータ!B358=7),1,0)</f>
        <v>1</v>
      </c>
      <c r="D358">
        <f>アイスクリームの売り上げデータ!C358</f>
        <v>6.8</v>
      </c>
      <c r="E358">
        <f>アイスクリームの売り上げデータ!D358</f>
        <v>9</v>
      </c>
      <c r="F358">
        <f>アイスクリームの売り上げデータ!E358</f>
        <v>5.0999999999999996</v>
      </c>
      <c r="G358">
        <f>アイスクリームの売り上げデータ!F358</f>
        <v>16.5</v>
      </c>
      <c r="H358">
        <f>アイスクリームの売り上げデータ!G358</f>
        <v>157</v>
      </c>
      <c r="I358">
        <f>重回帰の係数!$B$18*重回帰分析!C358+重回帰の係数!$B$19*重回帰分析!D358+重回帰の係数!$B$20*重回帰分析!E358+重回帰の係数!$B$21*重回帰分析!F358+重回帰の係数!$B$22*重回帰分析!G358+重回帰の係数!$B$17</f>
        <v>157.51591845966288</v>
      </c>
      <c r="J358">
        <f t="shared" si="5"/>
        <v>0.51591845966288474</v>
      </c>
    </row>
    <row r="359" spans="2:10">
      <c r="B359" s="7">
        <v>43822</v>
      </c>
      <c r="C359">
        <f>IF(OR(アイスクリームの売り上げデータ!B359=1,アイスクリームの売り上げデータ!B359=7),1,0)</f>
        <v>0</v>
      </c>
      <c r="D359">
        <f>アイスクリームの売り上げデータ!C359</f>
        <v>6.8</v>
      </c>
      <c r="E359">
        <f>アイスクリームの売り上げデータ!D359</f>
        <v>12</v>
      </c>
      <c r="F359">
        <f>アイスクリームの売り上げデータ!E359</f>
        <v>3.5</v>
      </c>
      <c r="G359">
        <f>アイスクリームの売り上げデータ!F359</f>
        <v>13.5</v>
      </c>
      <c r="H359">
        <f>アイスクリームの売り上げデータ!G359</f>
        <v>77</v>
      </c>
      <c r="I359">
        <f>重回帰の係数!$B$18*重回帰分析!C359+重回帰の係数!$B$19*重回帰分析!D359+重回帰の係数!$B$20*重回帰分析!E359+重回帰の係数!$B$21*重回帰分析!F359+重回帰の係数!$B$22*重回帰分析!G359+重回帰の係数!$B$17</f>
        <v>97.247140404610704</v>
      </c>
      <c r="J359">
        <f t="shared" si="5"/>
        <v>20.247140404610704</v>
      </c>
    </row>
    <row r="360" spans="2:10">
      <c r="B360" s="7">
        <v>43823</v>
      </c>
      <c r="C360">
        <f>IF(OR(アイスクリームの売り上げデータ!B360=1,アイスクリームの売り上げデータ!B360=7),1,0)</f>
        <v>0</v>
      </c>
      <c r="D360">
        <f>アイスクリームの売り上げデータ!C360</f>
        <v>8.1999999999999993</v>
      </c>
      <c r="E360">
        <f>アイスクリームの売り上げデータ!D360</f>
        <v>12.6</v>
      </c>
      <c r="F360">
        <f>アイスクリームの売り上げデータ!E360</f>
        <v>5</v>
      </c>
      <c r="G360">
        <f>アイスクリームの売り上げデータ!F360</f>
        <v>0</v>
      </c>
      <c r="H360">
        <f>アイスクリームの売り上げデータ!G360</f>
        <v>120</v>
      </c>
      <c r="I360">
        <f>重回帰の係数!$B$18*重回帰分析!C360+重回帰の係数!$B$19*重回帰分析!D360+重回帰の係数!$B$20*重回帰分析!E360+重回帰の係数!$B$21*重回帰分析!F360+重回帰の係数!$B$22*重回帰分析!G360+重回帰の係数!$B$17</f>
        <v>117.18875965919227</v>
      </c>
      <c r="J360">
        <f t="shared" si="5"/>
        <v>2.8112403408077284</v>
      </c>
    </row>
    <row r="361" spans="2:10">
      <c r="B361" s="7">
        <v>43824</v>
      </c>
      <c r="C361">
        <f>IF(OR(アイスクリームの売り上げデータ!B361=1,アイスクリームの売り上げデータ!B361=7),1,0)</f>
        <v>0</v>
      </c>
      <c r="D361">
        <f>アイスクリームの売り上げデータ!C361</f>
        <v>5.9</v>
      </c>
      <c r="E361">
        <f>アイスクリームの売り上げデータ!D361</f>
        <v>8.9</v>
      </c>
      <c r="F361">
        <f>アイスクリームの売り上げデータ!E361</f>
        <v>4.2</v>
      </c>
      <c r="G361">
        <f>アイスクリームの売り上げデータ!F361</f>
        <v>0</v>
      </c>
      <c r="H361">
        <f>アイスクリームの売り上げデータ!G361</f>
        <v>143</v>
      </c>
      <c r="I361">
        <f>重回帰の係数!$B$18*重回帰分析!C361+重回帰の係数!$B$19*重回帰分析!D361+重回帰の係数!$B$20*重回帰分析!E361+重回帰の係数!$B$21*重回帰分析!F361+重回帰の係数!$B$22*重回帰分析!G361+重回帰の係数!$B$17</f>
        <v>109.13389393598078</v>
      </c>
      <c r="J361">
        <f t="shared" si="5"/>
        <v>33.86610606401922</v>
      </c>
    </row>
    <row r="362" spans="2:10">
      <c r="B362" s="7">
        <v>43825</v>
      </c>
      <c r="C362">
        <f>IF(OR(アイスクリームの売り上げデータ!B362=1,アイスクリームの売り上げデータ!B362=7),1,0)</f>
        <v>0</v>
      </c>
      <c r="D362">
        <f>アイスクリームの売り上げデータ!C362</f>
        <v>7.8</v>
      </c>
      <c r="E362">
        <f>アイスクリームの売り上げデータ!D362</f>
        <v>11.5</v>
      </c>
      <c r="F362">
        <f>アイスクリームの売り上げデータ!E362</f>
        <v>3.8</v>
      </c>
      <c r="G362">
        <f>アイスクリームの売り上げデータ!F362</f>
        <v>0</v>
      </c>
      <c r="H362">
        <f>アイスクリームの売り上げデータ!G362</f>
        <v>107</v>
      </c>
      <c r="I362">
        <f>重回帰の係数!$B$18*重回帰分析!C362+重回帰の係数!$B$19*重回帰分析!D362+重回帰の係数!$B$20*重回帰分析!E362+重回帰の係数!$B$21*重回帰分析!F362+重回帰の係数!$B$22*重回帰分析!G362+重回帰の係数!$B$17</f>
        <v>114.61959090617621</v>
      </c>
      <c r="J362">
        <f t="shared" si="5"/>
        <v>7.6195909061762137</v>
      </c>
    </row>
    <row r="363" spans="2:10">
      <c r="B363" s="7">
        <v>43826</v>
      </c>
      <c r="C363">
        <f>IF(OR(アイスクリームの売り上げデータ!B363=1,アイスクリームの売り上げデータ!B363=7),1,0)</f>
        <v>0</v>
      </c>
      <c r="D363">
        <f>アイスクリームの売り上げデータ!C363</f>
        <v>8.6999999999999993</v>
      </c>
      <c r="E363">
        <f>アイスクリームの売り上げデータ!D363</f>
        <v>13.7</v>
      </c>
      <c r="F363">
        <f>アイスクリームの売り上げデータ!E363</f>
        <v>4.5</v>
      </c>
      <c r="G363">
        <f>アイスクリームの売り上げデータ!F363</f>
        <v>0.5</v>
      </c>
      <c r="H363">
        <f>アイスクリームの売り上げデータ!G363</f>
        <v>125</v>
      </c>
      <c r="I363">
        <f>重回帰の係数!$B$18*重回帰分析!C363+重回帰の係数!$B$19*重回帰分析!D363+重回帰の係数!$B$20*重回帰分析!E363+重回帰の係数!$B$21*重回帰分析!F363+重回帰の係数!$B$22*重回帰分析!G363+重回帰の係数!$B$17</f>
        <v>118.02537455094493</v>
      </c>
      <c r="J363">
        <f t="shared" si="5"/>
        <v>6.9746254490550683</v>
      </c>
    </row>
    <row r="364" spans="2:10">
      <c r="B364" s="7">
        <v>43827</v>
      </c>
      <c r="C364">
        <f>IF(OR(アイスクリームの売り上げデータ!B364=1,アイスクリームの売り上げデータ!B364=7),1,0)</f>
        <v>1</v>
      </c>
      <c r="D364">
        <f>アイスクリームの売り上げデータ!C364</f>
        <v>6.8</v>
      </c>
      <c r="E364">
        <f>アイスクリームの売り上げデータ!D364</f>
        <v>10.9</v>
      </c>
      <c r="F364">
        <f>アイスクリームの売り上げデータ!E364</f>
        <v>3.8</v>
      </c>
      <c r="G364">
        <f>アイスクリームの売り上げデータ!F364</f>
        <v>0</v>
      </c>
      <c r="H364">
        <f>アイスクリームの売り上げデータ!G364</f>
        <v>168</v>
      </c>
      <c r="I364">
        <f>重回帰の係数!$B$18*重回帰分析!C364+重回帰の係数!$B$19*重回帰分析!D364+重回帰の係数!$B$20*重回帰分析!E364+重回帰の係数!$B$21*重回帰分析!F364+重回帰の係数!$B$22*重回帰分析!G364+重回帰の係数!$B$17</f>
        <v>176.48683206480683</v>
      </c>
      <c r="J364">
        <f t="shared" si="5"/>
        <v>8.4868320648068334</v>
      </c>
    </row>
    <row r="365" spans="2:10">
      <c r="B365" s="7">
        <v>43828</v>
      </c>
      <c r="C365">
        <f>IF(OR(アイスクリームの売り上げデータ!B365=1,アイスクリームの売り上げデータ!B365=7),1,0)</f>
        <v>1</v>
      </c>
      <c r="D365">
        <f>アイスクリームの売り上げデータ!C365</f>
        <v>7</v>
      </c>
      <c r="E365">
        <f>アイスクリームの売り上げデータ!D365</f>
        <v>10.9</v>
      </c>
      <c r="F365">
        <f>アイスクリームの売り上げデータ!E365</f>
        <v>2.2000000000000002</v>
      </c>
      <c r="G365">
        <f>アイスクリームの売り上げデータ!F365</f>
        <v>0</v>
      </c>
      <c r="H365">
        <f>アイスクリームの売り上げデータ!G365</f>
        <v>199</v>
      </c>
      <c r="I365">
        <f>重回帰の係数!$B$18*重回帰分析!C365+重回帰の係数!$B$19*重回帰分析!D365+重回帰の係数!$B$20*重回帰分析!E365+重回帰の係数!$B$21*重回帰分析!F365+重回帰の係数!$B$22*重回帰分析!G365+重回帰の係数!$B$17</f>
        <v>175.61659009052073</v>
      </c>
      <c r="J365">
        <f t="shared" si="5"/>
        <v>23.383409909479269</v>
      </c>
    </row>
    <row r="366" spans="2:10">
      <c r="B366" s="7">
        <v>43829</v>
      </c>
      <c r="C366">
        <f>IF(OR(アイスクリームの売り上げデータ!B366=1,アイスクリームの売り上げデータ!B366=7),1,0)</f>
        <v>0</v>
      </c>
      <c r="D366">
        <f>アイスクリームの売り上げデータ!C366</f>
        <v>6.7</v>
      </c>
      <c r="E366">
        <f>アイスクリームの売り上げデータ!D366</f>
        <v>8.8000000000000007</v>
      </c>
      <c r="F366">
        <f>アイスクリームの売り上げデータ!E366</f>
        <v>5.0999999999999996</v>
      </c>
      <c r="G366">
        <f>アイスクリームの売り上げデータ!F366</f>
        <v>0.5</v>
      </c>
      <c r="H366">
        <f>アイスクリームの売り上げデータ!G366</f>
        <v>88</v>
      </c>
      <c r="I366">
        <f>重回帰の係数!$B$18*重回帰分析!C366+重回帰の係数!$B$19*重回帰分析!D366+重回帰の係数!$B$20*重回帰分析!E366+重回帰の係数!$B$21*重回帰分析!F366+重回帰の係数!$B$22*重回帰分析!G366+重回帰の係数!$B$17</f>
        <v>110.93467869589955</v>
      </c>
      <c r="J366">
        <f t="shared" si="5"/>
        <v>22.934678695899549</v>
      </c>
    </row>
    <row r="367" spans="2:10">
      <c r="B367" s="7">
        <v>43830</v>
      </c>
      <c r="C367">
        <f>IF(OR(アイスクリームの売り上げデータ!B367=1,アイスクリームの売り上げデータ!B367=7),1,0)</f>
        <v>0</v>
      </c>
      <c r="D367">
        <f>アイスクリームの売り上げデータ!C367</f>
        <v>8.1999999999999993</v>
      </c>
      <c r="E367">
        <f>アイスクリームの売り上げデータ!D367</f>
        <v>16.5</v>
      </c>
      <c r="F367">
        <f>アイスクリームの売り上げデータ!E367</f>
        <v>3.7</v>
      </c>
      <c r="G367">
        <f>アイスクリームの売り上げデータ!F367</f>
        <v>0</v>
      </c>
      <c r="H367">
        <f>アイスクリームの売り上げデータ!G367</f>
        <v>117</v>
      </c>
      <c r="I367">
        <f>重回帰の係数!$B$18*重回帰分析!C367+重回帰の係数!$B$19*重回帰分析!D367+重回帰の係数!$B$20*重回帰分析!E367+重回帰の係数!$B$21*重回帰分析!F367+重回帰の係数!$B$22*重回帰分析!G367+重回帰の係数!$B$17</f>
        <v>118.76966658528997</v>
      </c>
      <c r="J367">
        <f t="shared" si="5"/>
        <v>1.7696665852899685</v>
      </c>
    </row>
  </sheetData>
  <phoneticPr fontId="4"/>
  <conditionalFormatting sqref="J3:J3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9C90-E44D-594C-AF6F-3D3DB30F8D9F}">
  <dimension ref="A1:I22"/>
  <sheetViews>
    <sheetView workbookViewId="0">
      <selection activeCell="G9" sqref="G9"/>
    </sheetView>
  </sheetViews>
  <sheetFormatPr baseColWidth="10" defaultRowHeight="16"/>
  <sheetData>
    <row r="1" spans="1:9" ht="17">
      <c r="A1" t="s">
        <v>53</v>
      </c>
    </row>
    <row r="2" spans="1:9" ht="17" thickBot="1"/>
    <row r="3" spans="1:9" ht="17">
      <c r="A3" s="29" t="s">
        <v>54</v>
      </c>
      <c r="B3" s="29"/>
    </row>
    <row r="4" spans="1:9" ht="17">
      <c r="A4" s="26" t="s">
        <v>55</v>
      </c>
      <c r="B4" s="26">
        <v>0.9277853068631875</v>
      </c>
    </row>
    <row r="5" spans="1:9" ht="17">
      <c r="A5" s="26" t="s">
        <v>56</v>
      </c>
      <c r="B5" s="26">
        <v>0.86078557563121905</v>
      </c>
    </row>
    <row r="6" spans="1:9" ht="17">
      <c r="A6" s="38" t="s">
        <v>80</v>
      </c>
      <c r="B6" s="34">
        <v>0.85884665607176536</v>
      </c>
      <c r="C6" s="37" t="s">
        <v>81</v>
      </c>
      <c r="D6" s="36"/>
    </row>
    <row r="7" spans="1:9" ht="17">
      <c r="A7" s="26" t="s">
        <v>57</v>
      </c>
      <c r="B7" s="26">
        <v>17.787505088727947</v>
      </c>
    </row>
    <row r="8" spans="1:9" ht="18" thickBot="1">
      <c r="A8" s="27" t="s">
        <v>58</v>
      </c>
      <c r="B8" s="27">
        <v>365</v>
      </c>
    </row>
    <row r="10" spans="1:9" ht="18" thickBot="1">
      <c r="A10" t="s">
        <v>59</v>
      </c>
    </row>
    <row r="11" spans="1:9" ht="34">
      <c r="A11" s="28"/>
      <c r="B11" s="28" t="s">
        <v>64</v>
      </c>
      <c r="C11" s="28" t="s">
        <v>65</v>
      </c>
      <c r="D11" s="28" t="s">
        <v>66</v>
      </c>
      <c r="E11" s="28" t="s">
        <v>67</v>
      </c>
      <c r="F11" s="33" t="s">
        <v>68</v>
      </c>
    </row>
    <row r="12" spans="1:9" ht="17">
      <c r="A12" s="26" t="s">
        <v>60</v>
      </c>
      <c r="B12" s="26">
        <v>5</v>
      </c>
      <c r="C12" s="26">
        <v>702320.37528579636</v>
      </c>
      <c r="D12" s="26">
        <v>140464.07505715927</v>
      </c>
      <c r="E12" s="26">
        <v>443.9511538445239</v>
      </c>
      <c r="F12" s="34">
        <v>2.8590820342957099E-151</v>
      </c>
    </row>
    <row r="13" spans="1:9" ht="17">
      <c r="A13" s="26" t="s">
        <v>61</v>
      </c>
      <c r="B13" s="26">
        <v>359</v>
      </c>
      <c r="C13" s="26">
        <v>113585.92608406661</v>
      </c>
      <c r="D13" s="26">
        <v>316.39533728152259</v>
      </c>
      <c r="E13" s="26"/>
      <c r="F13" s="34"/>
    </row>
    <row r="14" spans="1:9" ht="18" thickBot="1">
      <c r="A14" s="27" t="s">
        <v>62</v>
      </c>
      <c r="B14" s="27">
        <v>364</v>
      </c>
      <c r="C14" s="27">
        <v>815906.30136986298</v>
      </c>
      <c r="D14" s="27"/>
      <c r="E14" s="27"/>
      <c r="F14" s="35"/>
    </row>
    <row r="15" spans="1:9" ht="17" thickBot="1"/>
    <row r="16" spans="1:9" ht="17">
      <c r="A16" s="28"/>
      <c r="B16" s="30" t="s">
        <v>69</v>
      </c>
      <c r="C16" s="28" t="s">
        <v>57</v>
      </c>
      <c r="D16" s="33" t="s">
        <v>70</v>
      </c>
      <c r="E16" s="33" t="s">
        <v>71</v>
      </c>
      <c r="F16" s="28" t="s">
        <v>72</v>
      </c>
      <c r="G16" s="28" t="s">
        <v>73</v>
      </c>
      <c r="H16" s="28" t="s">
        <v>74</v>
      </c>
      <c r="I16" s="28" t="s">
        <v>75</v>
      </c>
    </row>
    <row r="17" spans="1:9" ht="17">
      <c r="A17" s="26" t="s">
        <v>63</v>
      </c>
      <c r="B17" s="31">
        <v>87.129889092849382</v>
      </c>
      <c r="C17" s="26">
        <v>3.63651046822224</v>
      </c>
      <c r="D17" s="34">
        <v>23.959752035429744</v>
      </c>
      <c r="E17" s="34">
        <v>1.856476759491577E-76</v>
      </c>
      <c r="F17" s="26">
        <v>79.978349651412827</v>
      </c>
      <c r="G17" s="26">
        <v>94.281428534285936</v>
      </c>
      <c r="H17" s="26">
        <v>79.978349651412827</v>
      </c>
      <c r="I17" s="26">
        <v>94.281428534285936</v>
      </c>
    </row>
    <row r="18" spans="1:9" ht="17">
      <c r="A18" s="26" t="s">
        <v>76</v>
      </c>
      <c r="B18" s="31">
        <v>64.405988615442766</v>
      </c>
      <c r="C18" s="26">
        <v>2.0654043850829584</v>
      </c>
      <c r="D18" s="34">
        <v>31.183234179516788</v>
      </c>
      <c r="E18" s="34">
        <v>3.2983267197427281E-104</v>
      </c>
      <c r="F18" s="26">
        <v>60.344176872698711</v>
      </c>
      <c r="G18" s="26">
        <v>68.467800358186821</v>
      </c>
      <c r="H18" s="26">
        <v>60.344176872698711</v>
      </c>
      <c r="I18" s="26">
        <v>68.467800358186821</v>
      </c>
    </row>
    <row r="19" spans="1:9" ht="17">
      <c r="A19" s="26" t="s">
        <v>2</v>
      </c>
      <c r="B19" s="31">
        <v>2.1334153754707468</v>
      </c>
      <c r="C19" s="26">
        <v>1.7858643437130666</v>
      </c>
      <c r="D19" s="34">
        <v>1.1946122240366097</v>
      </c>
      <c r="E19" s="34">
        <v>0.23302722007827922</v>
      </c>
      <c r="F19" s="26">
        <v>-1.3786546165518021</v>
      </c>
      <c r="G19" s="26">
        <v>5.6454853674932952</v>
      </c>
      <c r="H19" s="26">
        <v>-1.3786546165518021</v>
      </c>
      <c r="I19" s="26">
        <v>5.6454853674932952</v>
      </c>
    </row>
    <row r="20" spans="1:9" ht="17">
      <c r="A20" s="26" t="s">
        <v>4</v>
      </c>
      <c r="B20" s="31">
        <v>0.67555346890234202</v>
      </c>
      <c r="C20" s="26">
        <v>0.95467443688760178</v>
      </c>
      <c r="D20" s="34">
        <v>0.70762706405417042</v>
      </c>
      <c r="E20" s="34">
        <v>0.47963600481985036</v>
      </c>
      <c r="F20" s="26">
        <v>-1.2019034912231108</v>
      </c>
      <c r="G20" s="26">
        <v>2.5530104290277951</v>
      </c>
      <c r="H20" s="26">
        <v>-1.2019034912231108</v>
      </c>
      <c r="I20" s="26">
        <v>2.5530104290277951</v>
      </c>
    </row>
    <row r="21" spans="1:9" ht="17">
      <c r="A21" s="26" t="s">
        <v>6</v>
      </c>
      <c r="B21" s="31">
        <v>0.8105781558626528</v>
      </c>
      <c r="C21" s="26">
        <v>0.93051543444349927</v>
      </c>
      <c r="D21" s="34">
        <v>0.87110662097445413</v>
      </c>
      <c r="E21" s="34">
        <v>0.38427808260975194</v>
      </c>
      <c r="F21" s="26">
        <v>-1.0193678565137003</v>
      </c>
      <c r="G21" s="26">
        <v>2.6405241682390059</v>
      </c>
      <c r="H21" s="26">
        <v>-1.0193678565137003</v>
      </c>
      <c r="I21" s="26">
        <v>2.6405241682390059</v>
      </c>
    </row>
    <row r="22" spans="1:9" ht="35" thickBot="1">
      <c r="A22" s="27" t="s">
        <v>8</v>
      </c>
      <c r="B22" s="32">
        <v>-1.1358250676879369</v>
      </c>
      <c r="C22" s="27">
        <v>5.5413435165415463E-2</v>
      </c>
      <c r="D22" s="35">
        <v>-20.497286701273232</v>
      </c>
      <c r="E22" s="35">
        <v>2.2478865277872038E-62</v>
      </c>
      <c r="F22" s="27">
        <v>-1.2448007933551557</v>
      </c>
      <c r="G22" s="27">
        <v>-1.0268493420207181</v>
      </c>
      <c r="H22" s="27">
        <v>-1.2448007933551557</v>
      </c>
      <c r="I22" s="27">
        <v>-1.0268493420207181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グラフ</vt:lpstr>
      </vt:variant>
      <vt:variant>
        <vt:i4>1</vt:i4>
      </vt:variant>
    </vt:vector>
  </HeadingPairs>
  <TitlesOfParts>
    <vt:vector size="10" baseType="lpstr">
      <vt:lpstr>シート1</vt:lpstr>
      <vt:lpstr>アイスクリームの売り上げデータ</vt:lpstr>
      <vt:lpstr>曜日毎データ</vt:lpstr>
      <vt:lpstr>平均気温と売上の関係</vt:lpstr>
      <vt:lpstr>平均気温と降水量の関係</vt:lpstr>
      <vt:lpstr>相関係数</vt:lpstr>
      <vt:lpstr>気温による線形回帰</vt:lpstr>
      <vt:lpstr>重回帰分析</vt:lpstr>
      <vt:lpstr>重回帰の係数</vt:lpstr>
      <vt:lpstr>売上グラフ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2022-02-05T09:26:13Z</dcterms:created>
  <dcterms:modified xsi:type="dcterms:W3CDTF">2022-02-12T13:00:03Z</dcterms:modified>
</cp:coreProperties>
</file>